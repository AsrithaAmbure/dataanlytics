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\"/>
    </mc:Choice>
  </mc:AlternateContent>
  <xr:revisionPtr revIDLastSave="0" documentId="13_ncr:1_{CFF3685F-25BE-40AB-80C7-C39BB4E4A312}" xr6:coauthVersionLast="47" xr6:coauthVersionMax="47" xr10:uidLastSave="{00000000-0000-0000-0000-000000000000}"/>
  <bookViews>
    <workbookView xWindow="-120" yWindow="-120" windowWidth="29040" windowHeight="15720" xr2:uid="{5360DA98-2A01-4E9C-B311-563371011C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</calcChain>
</file>

<file path=xl/sharedStrings.xml><?xml version="1.0" encoding="utf-8"?>
<sst xmlns="http://schemas.openxmlformats.org/spreadsheetml/2006/main" count="50" uniqueCount="48">
  <si>
    <t>student id</t>
  </si>
  <si>
    <t>marks</t>
  </si>
  <si>
    <t>study hr</t>
  </si>
  <si>
    <t>mean</t>
  </si>
  <si>
    <t>median</t>
  </si>
  <si>
    <t>mode</t>
  </si>
  <si>
    <t>range</t>
  </si>
  <si>
    <t>variance</t>
  </si>
  <si>
    <t>sd</t>
  </si>
  <si>
    <t>corelation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</si>
  <si>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</si>
  <si>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</si>
  <si>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</si>
  <si>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</si>
  <si>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</si>
  <si>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</si>
  <si>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</si>
  <si>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</si>
  <si>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</si>
  <si>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</si>
  <si>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</si>
  <si>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</si>
  <si>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</si>
  <si>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Statistical Analysis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</si>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</sst>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student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Sheet1!$A$2:$A$13</c:f>
              <c:numCache>
                <c:formatCode>General</c:formatCode>
                <c:ptCount val="12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2-494B-92C8-3B24BDF4843B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Sheet1!$B$2:$B$13</c:f>
              <c:numCache>
                <c:formatCode>General</c:formatCode>
                <c:ptCount val="12"/>
                <c:pt idx="0">
                  <c:v>95</c:v>
                </c:pt>
                <c:pt idx="1">
                  <c:v>75</c:v>
                </c:pt>
                <c:pt idx="2">
                  <c:v>88</c:v>
                </c:pt>
                <c:pt idx="3">
                  <c:v>91</c:v>
                </c:pt>
                <c:pt idx="4">
                  <c:v>89</c:v>
                </c:pt>
                <c:pt idx="5">
                  <c:v>66</c:v>
                </c:pt>
                <c:pt idx="6">
                  <c:v>60</c:v>
                </c:pt>
                <c:pt idx="7">
                  <c:v>87</c:v>
                </c:pt>
                <c:pt idx="8">
                  <c:v>65</c:v>
                </c:pt>
                <c:pt idx="9">
                  <c:v>92</c:v>
                </c:pt>
                <c:pt idx="10">
                  <c:v>89</c:v>
                </c:pt>
                <c:pt idx="1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F2-494B-92C8-3B24BDF4843B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study hr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Sheet1!$C$2:$C$13</c:f>
              <c:numCache>
                <c:formatCode>General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F2-494B-92C8-3B24BDF4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35887"/>
        <c:axId val="44235407"/>
      </c:barChart>
      <c:catAx>
        <c:axId val="44235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5407"/>
        <c:crosses val="autoZero"/>
        <c:auto val="1"/>
        <c:lblAlgn val="ctr"/>
        <c:lblOffset val="100"/>
        <c:noMultiLvlLbl val="0"/>
      </c:catAx>
      <c:valAx>
        <c:axId val="4423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student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Sheet1!$A$2:$A$13</c:f>
              <c:numCache>
                <c:formatCode>General</c:formatCode>
                <c:ptCount val="12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1-4381-AF18-406BBABA7B64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Sheet1!$B$2:$B$13</c:f>
              <c:numCache>
                <c:formatCode>General</c:formatCode>
                <c:ptCount val="12"/>
                <c:pt idx="0">
                  <c:v>95</c:v>
                </c:pt>
                <c:pt idx="1">
                  <c:v>75</c:v>
                </c:pt>
                <c:pt idx="2">
                  <c:v>88</c:v>
                </c:pt>
                <c:pt idx="3">
                  <c:v>91</c:v>
                </c:pt>
                <c:pt idx="4">
                  <c:v>89</c:v>
                </c:pt>
                <c:pt idx="5">
                  <c:v>66</c:v>
                </c:pt>
                <c:pt idx="6">
                  <c:v>60</c:v>
                </c:pt>
                <c:pt idx="7">
                  <c:v>87</c:v>
                </c:pt>
                <c:pt idx="8">
                  <c:v>65</c:v>
                </c:pt>
                <c:pt idx="9">
                  <c:v>92</c:v>
                </c:pt>
                <c:pt idx="10">
                  <c:v>89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1-4381-AF18-406BBABA7B64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study hr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Sheet1!$C$2:$C$13</c:f>
              <c:numCache>
                <c:formatCode>General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F1-4381-AF18-406BBABA7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47087"/>
        <c:axId val="130947567"/>
      </c:lineChart>
      <c:catAx>
        <c:axId val="130947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7567"/>
        <c:crosses val="autoZero"/>
        <c:auto val="1"/>
        <c:lblAlgn val="ctr"/>
        <c:lblOffset val="100"/>
        <c:noMultiLvlLbl val="0"/>
      </c:catAx>
      <c:valAx>
        <c:axId val="1309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Sheet1!$A$1</c:f>
              <c:strCache>
                <c:ptCount val="1"/>
                <c:pt idx="0">
                  <c:v>student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647-409D-A937-B020FB0D28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647-409D-A937-B020FB0D28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647-409D-A937-B020FB0D28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647-409D-A937-B020FB0D28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647-409D-A937-B020FB0D28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647-409D-A937-B020FB0D28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647-409D-A937-B020FB0D28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647-409D-A937-B020FB0D28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647-409D-A937-B020FB0D28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647-409D-A937-B020FB0D28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647-409D-A937-B020FB0D28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647-409D-A937-B020FB0D28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Sheet1!$A$2:$A$13</c:f>
              <c:numCache>
                <c:formatCode>General</c:formatCode>
                <c:ptCount val="12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B-49E8-A4B5-FF95C8329827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647-409D-A937-B020FB0D28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647-409D-A937-B020FB0D28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4647-409D-A937-B020FB0D28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4647-409D-A937-B020FB0D28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4647-409D-A937-B020FB0D28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4647-409D-A937-B020FB0D28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4647-409D-A937-B020FB0D28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4647-409D-A937-B020FB0D28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4647-409D-A937-B020FB0D28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4647-409D-A937-B020FB0D28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4647-409D-A937-B020FB0D28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4647-409D-A937-B020FB0D28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Sheet1!$B$2:$B$13</c:f>
              <c:numCache>
                <c:formatCode>General</c:formatCode>
                <c:ptCount val="12"/>
                <c:pt idx="0">
                  <c:v>95</c:v>
                </c:pt>
                <c:pt idx="1">
                  <c:v>75</c:v>
                </c:pt>
                <c:pt idx="2">
                  <c:v>88</c:v>
                </c:pt>
                <c:pt idx="3">
                  <c:v>91</c:v>
                </c:pt>
                <c:pt idx="4">
                  <c:v>89</c:v>
                </c:pt>
                <c:pt idx="5">
                  <c:v>66</c:v>
                </c:pt>
                <c:pt idx="6">
                  <c:v>60</c:v>
                </c:pt>
                <c:pt idx="7">
                  <c:v>87</c:v>
                </c:pt>
                <c:pt idx="8">
                  <c:v>65</c:v>
                </c:pt>
                <c:pt idx="9">
                  <c:v>92</c:v>
                </c:pt>
                <c:pt idx="10">
                  <c:v>89</c:v>
                </c:pt>
                <c:pt idx="1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B-49E8-A4B5-FF95C8329827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study hr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4647-409D-A937-B020FB0D28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4647-409D-A937-B020FB0D28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4647-409D-A937-B020FB0D28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4647-409D-A937-B020FB0D28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4647-409D-A937-B020FB0D28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4647-409D-A937-B020FB0D28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4647-409D-A937-B020FB0D28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4647-409D-A937-B020FB0D28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4647-409D-A937-B020FB0D28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4647-409D-A937-B020FB0D28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4647-409D-A937-B020FB0D28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4647-409D-A937-B020FB0D28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Sheet1!$C$2:$C$13</c:f>
              <c:numCache>
                <c:formatCode>General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8B-49E8-A4B5-FF95C83298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95</c:v>
                </c:pt>
                <c:pt idx="1">
                  <c:v>75</c:v>
                </c:pt>
                <c:pt idx="2">
                  <c:v>88</c:v>
                </c:pt>
                <c:pt idx="3">
                  <c:v>91</c:v>
                </c:pt>
                <c:pt idx="4">
                  <c:v>89</c:v>
                </c:pt>
                <c:pt idx="5">
                  <c:v>66</c:v>
                </c:pt>
                <c:pt idx="6">
                  <c:v>60</c:v>
                </c:pt>
                <c:pt idx="7">
                  <c:v>87</c:v>
                </c:pt>
                <c:pt idx="8">
                  <c:v>65</c:v>
                </c:pt>
                <c:pt idx="9">
                  <c:v>92</c:v>
                </c:pt>
                <c:pt idx="10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2-4FBA-9C6D-46F7AD58207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</c:numCache>
            </c:numRef>
          </c:xVal>
          <c:yVal>
            <c:numRef>
              <c:f>Sheet1!$C$2:$C$12</c:f>
              <c:numCache>
                <c:formatCode>General</c:formatCode>
                <c:ptCount val="11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72-4FBA-9C6D-46F7AD582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06991"/>
        <c:axId val="144306511"/>
      </c:scatterChart>
      <c:valAx>
        <c:axId val="14430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06511"/>
        <c:crosses val="autoZero"/>
        <c:crossBetween val="midCat"/>
      </c:valAx>
      <c:valAx>
        <c:axId val="14430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0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193476</xdr:colOff>
      <xdr:row>0</xdr:row>
      <xdr:rowOff>119658</xdr:rowOff>
    </xdr:from>
    <xdr:to>
      <xdr:col>7</xdr:col>
      <xdr:colOff>410766</xdr:colOff>
      <xdr:row>11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AB2CA-4419-6122-3936-7BBBAB434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17858</xdr:colOff>
      <xdr:row>0</xdr:row>
      <xdr:rowOff>137517</xdr:rowOff>
    </xdr:from>
    <xdr:to>
      <xdr:col>12</xdr:col>
      <xdr:colOff>360162</xdr:colOff>
      <xdr:row>10</xdr:row>
      <xdr:rowOff>160734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1DEB36-1AF9-FA7C-8414-91E914F75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291704</xdr:colOff>
      <xdr:row>12</xdr:row>
      <xdr:rowOff>0</xdr:rowOff>
    </xdr:from>
    <xdr:to>
      <xdr:col>7</xdr:col>
      <xdr:colOff>354211</xdr:colOff>
      <xdr:row>21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0E30A-B55B-F7EC-3AAF-A35E2FF49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142874</xdr:colOff>
      <xdr:row>12</xdr:row>
      <xdr:rowOff>66080</xdr:rowOff>
    </xdr:from>
    <xdr:to>
      <xdr:col>12</xdr:col>
      <xdr:colOff>321469</xdr:colOff>
      <xdr:row>20</xdr:row>
      <xdr:rowOff>136922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F792D1-0917-B98A-70CD-8920FC3BB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376D2-F0AD-4CE3-BC3A-3151A3B6B183}" name="Table1" displayName="Table1" ref="A1:C13" totalsRowShown="0">
  <autoFilter ref="A1:C13" xr:uid="{69E376D2-F0AD-4CE3-BC3A-3151A3B6B183}"/>
  <tableColumns count="3">
    <tableColumn id="1" xr3:uid="{6BAA69E1-C204-4D77-9AD6-68660829BE8C}" name="student id"/>
    <tableColumn id="2" xr3:uid="{C53E4171-57D0-421F-8B9D-ECB67538A959}" name="marks"/>
    <tableColumn id="3" xr3:uid="{8B7CD53E-EC27-4C8D-8299-81CDD8216551}" name="study h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936B-5A24-44A4-A437-7F48F0AF4F98}">
  <dimension ref="A1:O42"/>
  <sheetViews>
    <sheetView tabSelected="1" zoomScale="160" zoomScaleNormal="160" workbookViewId="0">
      <selection activeCell="G25" sqref="G25"/>
    </sheetView>
  </sheetViews>
  <sheetFormatPr defaultRowHeight="15" x14ac:dyDescent="0.25"/>
  <cols>
    <col min="1" max="1" width="10.42578125" customWidth="1"/>
    <col min="2" max="2" width="1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</v>
      </c>
      <c r="B2">
        <v>95</v>
      </c>
      <c r="C2">
        <v>3</v>
      </c>
    </row>
    <row r="3" spans="1:3" x14ac:dyDescent="0.25">
      <c r="A3">
        <v>102</v>
      </c>
      <c r="B3">
        <v>75</v>
      </c>
      <c r="C3">
        <v>5</v>
      </c>
    </row>
    <row r="4" spans="1:3" x14ac:dyDescent="0.25">
      <c r="A4">
        <v>103</v>
      </c>
      <c r="B4">
        <v>88</v>
      </c>
      <c r="C4">
        <v>2</v>
      </c>
    </row>
    <row r="5" spans="1:3" x14ac:dyDescent="0.25">
      <c r="A5">
        <v>104</v>
      </c>
      <c r="B5">
        <v>91</v>
      </c>
      <c r="C5">
        <v>3</v>
      </c>
    </row>
    <row r="6" spans="1:3" x14ac:dyDescent="0.25">
      <c r="A6">
        <v>105</v>
      </c>
      <c r="B6">
        <v>89</v>
      </c>
      <c r="C6">
        <v>1</v>
      </c>
    </row>
    <row r="7" spans="1:3" x14ac:dyDescent="0.25">
      <c r="A7">
        <v>106</v>
      </c>
      <c r="B7">
        <v>66</v>
      </c>
      <c r="C7">
        <v>6</v>
      </c>
    </row>
    <row r="8" spans="1:3" x14ac:dyDescent="0.25">
      <c r="A8">
        <v>107</v>
      </c>
      <c r="B8">
        <v>60</v>
      </c>
      <c r="C8">
        <v>7</v>
      </c>
    </row>
    <row r="9" spans="1:3" x14ac:dyDescent="0.25">
      <c r="A9">
        <v>108</v>
      </c>
      <c r="B9">
        <v>87</v>
      </c>
      <c r="C9">
        <v>5</v>
      </c>
    </row>
    <row r="10" spans="1:3" x14ac:dyDescent="0.25">
      <c r="A10">
        <v>109</v>
      </c>
      <c r="B10">
        <v>65</v>
      </c>
      <c r="C10">
        <v>2</v>
      </c>
    </row>
    <row r="11" spans="1:3" x14ac:dyDescent="0.25">
      <c r="A11">
        <v>110</v>
      </c>
      <c r="B11">
        <v>92</v>
      </c>
      <c r="C11">
        <v>1</v>
      </c>
    </row>
    <row r="12" spans="1:3" x14ac:dyDescent="0.25">
      <c r="A12">
        <v>111</v>
      </c>
      <c r="B12">
        <v>89</v>
      </c>
      <c r="C12">
        <v>3</v>
      </c>
    </row>
    <row r="13" spans="1:3" x14ac:dyDescent="0.25">
      <c r="A13">
        <v>112</v>
      </c>
      <c r="B13">
        <v>90</v>
      </c>
      <c r="C13">
        <v>4</v>
      </c>
    </row>
    <row r="14" spans="1:3" x14ac:dyDescent="0.25">
      <c r="A14" t="s">
        <v>3</v>
      </c>
      <c r="B14">
        <f>AVERAGE(B2:B13)</f>
        <v>82.25</v>
      </c>
    </row>
    <row r="15" spans="1:3" x14ac:dyDescent="0.25">
      <c r="A15" t="s">
        <v>4</v>
      </c>
      <c r="B15">
        <f>MEDIAN(B2:B13)</f>
        <v>88.5</v>
      </c>
    </row>
    <row r="16" spans="1:3" x14ac:dyDescent="0.25">
      <c r="A16" t="s">
        <v>5</v>
      </c>
      <c r="B16">
        <f>MODE(B2:B13)</f>
        <v>89</v>
      </c>
    </row>
    <row r="17" spans="1:8" x14ac:dyDescent="0.25">
      <c r="A17" t="s">
        <v>6</v>
      </c>
      <c r="B17">
        <f>MAX(D3:D14)-MIN(B2:B13)</f>
        <v>-60</v>
      </c>
    </row>
    <row r="18" spans="1:8" x14ac:dyDescent="0.25">
      <c r="A18" t="s">
        <v>7</v>
      </c>
      <c r="B18">
        <f>_xlfn.VAR.S(B2:B13)</f>
        <v>150.02272727272728</v>
      </c>
    </row>
    <row r="19" spans="1:8" x14ac:dyDescent="0.25">
      <c r="A19" t="s">
        <v>8</v>
      </c>
      <c r="B19">
        <f>_xlfn.STDEV.S(B2:B13)</f>
        <v>12.248376515796993</v>
      </c>
    </row>
    <row r="20" spans="1:8" x14ac:dyDescent="0.25">
      <c r="A20" t="s">
        <v>9</v>
      </c>
      <c r="B20">
        <f>CORREL(B2:B13,C2:C13)</f>
        <v>-0.60165501744594763</v>
      </c>
    </row>
    <row r="22" spans="1:8" ht="15.75" thickBot="1" x14ac:dyDescent="0.3"/>
    <row r="23" spans="1:8" x14ac:dyDescent="0.25">
      <c r="B23" s="2" t="s">
        <v>23</v>
      </c>
      <c r="C23" s="2"/>
    </row>
    <row r="25" spans="1:8" x14ac:dyDescent="0.25">
      <c r="B25" t="s">
        <v>10</v>
      </c>
      <c r="C25">
        <v>3.5</v>
      </c>
      <c r="G25" t="s">
        <v>24</v>
      </c>
    </row>
    <row r="26" spans="1:8" ht="15.75" thickBot="1" x14ac:dyDescent="0.3">
      <c r="B26" t="s">
        <v>11</v>
      </c>
      <c r="C26">
        <v>0.55732042902271273</v>
      </c>
    </row>
    <row r="27" spans="1:8" x14ac:dyDescent="0.25">
      <c r="B27" t="s">
        <v>12</v>
      </c>
      <c r="C27">
        <v>3</v>
      </c>
      <c r="G27" s="6" t="s">
        <v>25</v>
      </c>
      <c r="H27" s="6"/>
    </row>
    <row r="28" spans="1:8" x14ac:dyDescent="0.25">
      <c r="B28" t="s">
        <v>13</v>
      </c>
      <c r="C28">
        <v>3</v>
      </c>
      <c r="G28" s="3" t="s">
        <v>26</v>
      </c>
      <c r="H28" s="3">
        <v>0.60165501744594752</v>
      </c>
    </row>
    <row r="29" spans="1:8" x14ac:dyDescent="0.25">
      <c r="B29" t="s">
        <v>14</v>
      </c>
      <c r="C29">
        <v>1.9306145983268455</v>
      </c>
      <c r="G29" s="3" t="s">
        <v>27</v>
      </c>
      <c r="H29" s="3">
        <v>0.36198876001788338</v>
      </c>
    </row>
    <row r="30" spans="1:8" x14ac:dyDescent="0.25">
      <c r="B30" t="s">
        <v>15</v>
      </c>
      <c r="C30">
        <v>3.7272727272727271</v>
      </c>
      <c r="G30" s="3" t="s">
        <v>28</v>
      </c>
      <c r="H30" s="3">
        <v>0.29818763601967169</v>
      </c>
    </row>
    <row r="31" spans="1:8" x14ac:dyDescent="0.25">
      <c r="B31" t="s">
        <v>16</v>
      </c>
      <c r="C31">
        <v>-0.76954193932183257</v>
      </c>
      <c r="G31" s="3" t="s">
        <v>11</v>
      </c>
      <c r="H31" s="3">
        <v>10.260984595936629</v>
      </c>
    </row>
    <row r="32" spans="1:8" ht="15.75" thickBot="1" x14ac:dyDescent="0.3">
      <c r="B32" t="s">
        <v>17</v>
      </c>
      <c r="C32">
        <v>0.40932245261373451</v>
      </c>
      <c r="G32" s="4" t="s">
        <v>29</v>
      </c>
      <c r="H32" s="4">
        <v>12</v>
      </c>
    </row>
    <row r="33" spans="2:15" x14ac:dyDescent="0.25">
      <c r="B33" t="s">
        <v>18</v>
      </c>
      <c r="C33">
        <v>6</v>
      </c>
    </row>
    <row r="34" spans="2:15" ht="15.75" thickBot="1" x14ac:dyDescent="0.3">
      <c r="B34" t="s">
        <v>19</v>
      </c>
      <c r="C34">
        <v>1</v>
      </c>
      <c r="G34" t="s">
        <v>30</v>
      </c>
    </row>
    <row r="35" spans="2:15" x14ac:dyDescent="0.25">
      <c r="B35" t="s">
        <v>20</v>
      </c>
      <c r="C35">
        <v>7</v>
      </c>
      <c r="G35" s="5"/>
      <c r="H35" s="5" t="s">
        <v>35</v>
      </c>
      <c r="I35" s="5" t="s">
        <v>36</v>
      </c>
      <c r="J35" s="5" t="s">
        <v>37</v>
      </c>
      <c r="K35" s="5" t="s">
        <v>38</v>
      </c>
      <c r="L35" s="5" t="s">
        <v>39</v>
      </c>
    </row>
    <row r="36" spans="2:15" x14ac:dyDescent="0.25">
      <c r="B36" t="s">
        <v>21</v>
      </c>
      <c r="C36">
        <v>42</v>
      </c>
      <c r="G36" s="3" t="s">
        <v>31</v>
      </c>
      <c r="H36" s="3">
        <v>1</v>
      </c>
      <c r="I36" s="3">
        <v>597.37195121951208</v>
      </c>
      <c r="J36" s="3">
        <v>597.37195121951208</v>
      </c>
      <c r="K36" s="3">
        <v>5.6737050593031864</v>
      </c>
      <c r="L36" s="3">
        <v>3.848379331430947E-2</v>
      </c>
    </row>
    <row r="37" spans="2:15" ht="15.75" thickBot="1" x14ac:dyDescent="0.3">
      <c r="B37" s="1" t="s">
        <v>22</v>
      </c>
      <c r="C37" s="1">
        <v>12</v>
      </c>
      <c r="G37" s="3" t="s">
        <v>32</v>
      </c>
      <c r="H37" s="3">
        <v>10</v>
      </c>
      <c r="I37" s="3">
        <v>1052.8780487804879</v>
      </c>
      <c r="J37" s="3">
        <v>105.28780487804879</v>
      </c>
      <c r="K37" s="3"/>
      <c r="L37" s="3"/>
    </row>
    <row r="38" spans="2:15" ht="15.75" thickBot="1" x14ac:dyDescent="0.3">
      <c r="G38" s="4" t="s">
        <v>33</v>
      </c>
      <c r="H38" s="4">
        <v>11</v>
      </c>
      <c r="I38" s="4">
        <v>1650.25</v>
      </c>
      <c r="J38" s="4"/>
      <c r="K38" s="4"/>
      <c r="L38" s="4"/>
    </row>
    <row r="39" spans="2:15" ht="15.75" thickBot="1" x14ac:dyDescent="0.3"/>
    <row r="40" spans="2:15" x14ac:dyDescent="0.25">
      <c r="G40" s="5"/>
      <c r="H40" s="5" t="s">
        <v>40</v>
      </c>
      <c r="I40" s="5" t="s">
        <v>11</v>
      </c>
      <c r="J40" s="5" t="s">
        <v>41</v>
      </c>
      <c r="K40" s="5" t="s">
        <v>42</v>
      </c>
      <c r="L40" s="5" t="s">
        <v>43</v>
      </c>
      <c r="M40" s="5" t="s">
        <v>44</v>
      </c>
      <c r="N40" s="5" t="s">
        <v>45</v>
      </c>
      <c r="O40" s="5" t="s">
        <v>46</v>
      </c>
    </row>
    <row r="41" spans="2:15" x14ac:dyDescent="0.25">
      <c r="G41" s="3" t="s">
        <v>34</v>
      </c>
      <c r="H41" s="3">
        <v>95.609756097560975</v>
      </c>
      <c r="I41" s="3">
        <v>6.3428641354837199</v>
      </c>
      <c r="J41" s="3">
        <v>15.073593577811923</v>
      </c>
      <c r="K41" s="3">
        <v>3.335629995182442E-8</v>
      </c>
      <c r="L41" s="3">
        <v>81.476974084419368</v>
      </c>
      <c r="M41" s="3">
        <v>109.74253811070258</v>
      </c>
      <c r="N41" s="3">
        <v>81.476974084419368</v>
      </c>
      <c r="O41" s="3">
        <v>109.74253811070258</v>
      </c>
    </row>
    <row r="42" spans="2:15" ht="15.75" thickBot="1" x14ac:dyDescent="0.3">
      <c r="G42" s="4" t="s">
        <v>47</v>
      </c>
      <c r="H42" s="4">
        <v>-3.8170731707317072</v>
      </c>
      <c r="I42" s="4">
        <v>1.6024965650284619</v>
      </c>
      <c r="J42" s="4">
        <v>-2.3819540422315426</v>
      </c>
      <c r="K42" s="4">
        <v>3.848379331430947E-2</v>
      </c>
      <c r="L42" s="4">
        <v>-7.3876580274461725</v>
      </c>
      <c r="M42" s="4">
        <v>-0.24648831401724181</v>
      </c>
      <c r="N42" s="4">
        <v>-7.3876580274461725</v>
      </c>
      <c r="O42" s="4">
        <v>-0.24648831401724181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23691a3306</dc:creator>
  <cp:lastModifiedBy>23691A3306@mits.com</cp:lastModifiedBy>
  <dcterms:created xsi:type="dcterms:W3CDTF">2026-05-27T06:09:38Z</dcterms:created>
  <dcterms:modified xsi:type="dcterms:W3CDTF">2026-05-27T09:56:18Z</dcterms:modified>
</cp:coreProperties>
</file>