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\"/>
    </mc:Choice>
  </mc:AlternateContent>
  <xr:revisionPtr revIDLastSave="0" documentId="13_ncr:1_{D1F4A6D8-3CE0-4B63-861D-8D592AAA5F9F}" xr6:coauthVersionLast="47" xr6:coauthVersionMax="47" xr10:uidLastSave="{00000000-0000-0000-0000-000000000000}"/>
  <bookViews>
    <workbookView xWindow="-120" yWindow="-120" windowWidth="29040" windowHeight="15720" xr2:uid="{02BD5F67-049E-4C94-B3F8-81A0D08BCFCE}"/>
  </bookViews>
  <sheets>
    <sheet name="Sheet1" sheetId="1" r:id="rId1"/>
  </sheets>
  <definedNames>
    <definedName name="_xlnm._FilterDatabase" localSheetId="0" hidden="1">Sheet1!$P$82:$R$86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5" i="1" l="1"/>
  <c r="AA74" i="1"/>
  <c r="AA75" i="1"/>
  <c r="AA76" i="1"/>
  <c r="AA77" i="1"/>
  <c r="AA71" i="1"/>
  <c r="AA72" i="1"/>
  <c r="AA73" i="1"/>
  <c r="Z73" i="1"/>
  <c r="Z72" i="1"/>
  <c r="H89" i="1"/>
  <c r="H88" i="1"/>
  <c r="M81" i="1"/>
  <c r="L81" i="1"/>
  <c r="K81" i="1"/>
  <c r="J81" i="1"/>
  <c r="I81" i="1"/>
  <c r="H87" i="1"/>
  <c r="H81" i="1"/>
  <c r="G81" i="1"/>
  <c r="M34" i="1" s="1"/>
  <c r="F81" i="1"/>
  <c r="Q4" i="1" s="1"/>
  <c r="N3" i="1"/>
  <c r="N4" i="1"/>
  <c r="N5" i="1"/>
  <c r="N6" i="1"/>
  <c r="N7" i="1"/>
  <c r="N8" i="1"/>
  <c r="N9" i="1"/>
  <c r="N10" i="1"/>
  <c r="N11" i="1"/>
  <c r="N12" i="1"/>
  <c r="N13" i="1"/>
  <c r="N2" i="1"/>
  <c r="K3" i="1"/>
  <c r="K4" i="1"/>
  <c r="K5" i="1"/>
  <c r="K6" i="1"/>
  <c r="K7" i="1"/>
  <c r="K8" i="1"/>
  <c r="K9" i="1"/>
  <c r="K10" i="1"/>
  <c r="K11" i="1"/>
  <c r="K12" i="1"/>
  <c r="K2" i="1"/>
  <c r="AB72" i="1"/>
  <c r="AB73" i="1"/>
  <c r="AB74" i="1"/>
  <c r="AB75" i="1"/>
  <c r="AB76" i="1"/>
  <c r="AB77" i="1"/>
  <c r="AB71" i="1"/>
  <c r="Z74" i="1"/>
  <c r="Z71" i="1"/>
  <c r="R71" i="1"/>
  <c r="R72" i="1"/>
  <c r="R73" i="1"/>
  <c r="R74" i="1"/>
  <c r="R75" i="1"/>
  <c r="R76" i="1"/>
  <c r="R77" i="1"/>
  <c r="S71" i="1"/>
  <c r="Y72" i="1"/>
  <c r="Y73" i="1"/>
  <c r="Y74" i="1"/>
  <c r="Y75" i="1"/>
  <c r="Y76" i="1"/>
  <c r="Y77" i="1"/>
  <c r="Y71" i="1"/>
  <c r="X72" i="1"/>
  <c r="AC72" i="1" s="1"/>
  <c r="X73" i="1"/>
  <c r="AC73" i="1" s="1"/>
  <c r="X74" i="1"/>
  <c r="AC74" i="1" s="1"/>
  <c r="X75" i="1"/>
  <c r="AC75" i="1" s="1"/>
  <c r="X76" i="1"/>
  <c r="Z76" i="1" s="1"/>
  <c r="X77" i="1"/>
  <c r="Z77" i="1" s="1"/>
  <c r="X71" i="1"/>
  <c r="AC71" i="1" s="1"/>
  <c r="T71" i="1"/>
  <c r="T72" i="1"/>
  <c r="T73" i="1"/>
  <c r="T74" i="1"/>
  <c r="T75" i="1"/>
  <c r="T76" i="1"/>
  <c r="T77" i="1"/>
  <c r="S72" i="1"/>
  <c r="S73" i="1"/>
  <c r="S74" i="1"/>
  <c r="S75" i="1"/>
  <c r="S76" i="1"/>
  <c r="S77" i="1"/>
  <c r="S53" i="1"/>
  <c r="S55" i="1"/>
  <c r="S54" i="1"/>
  <c r="Z44" i="1"/>
  <c r="Z43" i="1"/>
  <c r="Z42" i="1"/>
  <c r="Z41" i="1"/>
  <c r="Z38" i="1"/>
  <c r="Z37" i="1"/>
  <c r="Z36" i="1"/>
  <c r="W46" i="1"/>
  <c r="Z55" i="1"/>
  <c r="Z54" i="1"/>
  <c r="V56" i="1"/>
  <c r="X55" i="1"/>
  <c r="X54" i="1"/>
  <c r="V55" i="1"/>
  <c r="V54" i="1"/>
  <c r="R66" i="1"/>
  <c r="R65" i="1"/>
  <c r="W30" i="1"/>
  <c r="X3" i="1" a="1"/>
  <c r="X3" i="1" s="1"/>
  <c r="W3" i="1" a="1"/>
  <c r="W3" i="1" s="1"/>
  <c r="S30" i="1"/>
  <c r="U30" i="1" s="1"/>
  <c r="R31" i="1"/>
  <c r="R30" i="1"/>
  <c r="T8" i="1"/>
  <c r="T7" i="1"/>
  <c r="T6" i="1"/>
  <c r="T5" i="1"/>
  <c r="T4" i="1"/>
  <c r="T3" i="1"/>
  <c r="T2" i="1"/>
  <c r="U16" i="1" a="1"/>
  <c r="U16" i="1" s="1"/>
  <c r="T16" i="1" a="1"/>
  <c r="T16" i="1" s="1"/>
  <c r="V16" i="1" s="1" a="1"/>
  <c r="V16" i="1" s="1"/>
  <c r="S16" i="1" a="1"/>
  <c r="S16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3" i="1"/>
  <c r="N73" i="1"/>
  <c r="L73" i="1"/>
  <c r="K73" i="1"/>
  <c r="J73" i="1"/>
  <c r="I73" i="1"/>
  <c r="N72" i="1"/>
  <c r="L72" i="1"/>
  <c r="K72" i="1"/>
  <c r="J72" i="1"/>
  <c r="I72" i="1"/>
  <c r="N71" i="1"/>
  <c r="L71" i="1"/>
  <c r="K71" i="1"/>
  <c r="J71" i="1"/>
  <c r="I71" i="1"/>
  <c r="N70" i="1"/>
  <c r="M70" i="1"/>
  <c r="L70" i="1"/>
  <c r="K70" i="1"/>
  <c r="J70" i="1"/>
  <c r="I70" i="1"/>
  <c r="N69" i="1"/>
  <c r="L69" i="1"/>
  <c r="K69" i="1"/>
  <c r="J69" i="1"/>
  <c r="I69" i="1"/>
  <c r="N68" i="1"/>
  <c r="L68" i="1"/>
  <c r="K68" i="1"/>
  <c r="J68" i="1"/>
  <c r="I68" i="1"/>
  <c r="N67" i="1"/>
  <c r="L67" i="1"/>
  <c r="K67" i="1"/>
  <c r="J67" i="1"/>
  <c r="I67" i="1"/>
  <c r="N66" i="1"/>
  <c r="L66" i="1"/>
  <c r="K66" i="1"/>
  <c r="J66" i="1"/>
  <c r="I66" i="1"/>
  <c r="N65" i="1"/>
  <c r="M65" i="1"/>
  <c r="L65" i="1"/>
  <c r="K65" i="1"/>
  <c r="J65" i="1"/>
  <c r="I65" i="1"/>
  <c r="N64" i="1"/>
  <c r="L64" i="1"/>
  <c r="K64" i="1"/>
  <c r="J64" i="1"/>
  <c r="I64" i="1"/>
  <c r="N63" i="1"/>
  <c r="L63" i="1"/>
  <c r="K63" i="1"/>
  <c r="J63" i="1"/>
  <c r="I63" i="1"/>
  <c r="N62" i="1"/>
  <c r="L62" i="1"/>
  <c r="K62" i="1"/>
  <c r="J62" i="1"/>
  <c r="I62" i="1"/>
  <c r="N61" i="1"/>
  <c r="L61" i="1"/>
  <c r="K61" i="1"/>
  <c r="J61" i="1"/>
  <c r="I61" i="1"/>
  <c r="N60" i="1"/>
  <c r="L60" i="1"/>
  <c r="K60" i="1"/>
  <c r="J60" i="1"/>
  <c r="I60" i="1"/>
  <c r="N59" i="1"/>
  <c r="L59" i="1"/>
  <c r="K59" i="1"/>
  <c r="J59" i="1"/>
  <c r="I59" i="1"/>
  <c r="N58" i="1"/>
  <c r="L58" i="1"/>
  <c r="K58" i="1"/>
  <c r="J58" i="1"/>
  <c r="I58" i="1"/>
  <c r="N57" i="1"/>
  <c r="L57" i="1"/>
  <c r="K57" i="1"/>
  <c r="J57" i="1"/>
  <c r="I57" i="1"/>
  <c r="N56" i="1"/>
  <c r="L56" i="1"/>
  <c r="K56" i="1"/>
  <c r="J56" i="1"/>
  <c r="I56" i="1"/>
  <c r="N55" i="1"/>
  <c r="L55" i="1"/>
  <c r="K55" i="1"/>
  <c r="J55" i="1"/>
  <c r="I55" i="1"/>
  <c r="N54" i="1"/>
  <c r="L54" i="1"/>
  <c r="K54" i="1"/>
  <c r="J54" i="1"/>
  <c r="I54" i="1"/>
  <c r="N53" i="1"/>
  <c r="L53" i="1"/>
  <c r="K53" i="1"/>
  <c r="J53" i="1"/>
  <c r="I53" i="1"/>
  <c r="N52" i="1"/>
  <c r="L52" i="1"/>
  <c r="K52" i="1"/>
  <c r="J52" i="1"/>
  <c r="I52" i="1"/>
  <c r="N51" i="1"/>
  <c r="L51" i="1"/>
  <c r="K51" i="1"/>
  <c r="J51" i="1"/>
  <c r="I51" i="1"/>
  <c r="N50" i="1"/>
  <c r="L50" i="1"/>
  <c r="K50" i="1"/>
  <c r="J50" i="1"/>
  <c r="I50" i="1"/>
  <c r="N49" i="1"/>
  <c r="L49" i="1"/>
  <c r="K49" i="1"/>
  <c r="J49" i="1"/>
  <c r="I49" i="1"/>
  <c r="N48" i="1"/>
  <c r="L48" i="1"/>
  <c r="K48" i="1"/>
  <c r="J48" i="1"/>
  <c r="I48" i="1"/>
  <c r="N47" i="1"/>
  <c r="L47" i="1"/>
  <c r="K47" i="1"/>
  <c r="J47" i="1"/>
  <c r="I47" i="1"/>
  <c r="N46" i="1"/>
  <c r="L46" i="1"/>
  <c r="K46" i="1"/>
  <c r="J46" i="1"/>
  <c r="I46" i="1"/>
  <c r="N45" i="1"/>
  <c r="L45" i="1"/>
  <c r="K45" i="1"/>
  <c r="J45" i="1"/>
  <c r="I45" i="1"/>
  <c r="N44" i="1"/>
  <c r="L44" i="1"/>
  <c r="K44" i="1"/>
  <c r="J44" i="1"/>
  <c r="I44" i="1"/>
  <c r="N43" i="1"/>
  <c r="L43" i="1"/>
  <c r="K43" i="1"/>
  <c r="J43" i="1"/>
  <c r="I43" i="1"/>
  <c r="N42" i="1"/>
  <c r="L42" i="1"/>
  <c r="K42" i="1"/>
  <c r="J42" i="1"/>
  <c r="I42" i="1"/>
  <c r="N41" i="1"/>
  <c r="L41" i="1"/>
  <c r="K41" i="1"/>
  <c r="J41" i="1"/>
  <c r="I41" i="1"/>
  <c r="N40" i="1"/>
  <c r="L40" i="1"/>
  <c r="K40" i="1"/>
  <c r="J40" i="1"/>
  <c r="I40" i="1"/>
  <c r="N39" i="1"/>
  <c r="L39" i="1"/>
  <c r="K39" i="1"/>
  <c r="J39" i="1"/>
  <c r="I39" i="1"/>
  <c r="N38" i="1"/>
  <c r="L38" i="1"/>
  <c r="K38" i="1"/>
  <c r="J38" i="1"/>
  <c r="I38" i="1"/>
  <c r="N37" i="1"/>
  <c r="L37" i="1"/>
  <c r="K37" i="1"/>
  <c r="J37" i="1"/>
  <c r="I37" i="1"/>
  <c r="N36" i="1"/>
  <c r="L36" i="1"/>
  <c r="K36" i="1"/>
  <c r="J36" i="1"/>
  <c r="I36" i="1"/>
  <c r="N35" i="1"/>
  <c r="L35" i="1"/>
  <c r="K35" i="1"/>
  <c r="J35" i="1"/>
  <c r="I35" i="1"/>
  <c r="N34" i="1"/>
  <c r="L34" i="1"/>
  <c r="K34" i="1"/>
  <c r="J34" i="1"/>
  <c r="I34" i="1"/>
  <c r="N33" i="1"/>
  <c r="L33" i="1"/>
  <c r="K33" i="1"/>
  <c r="J33" i="1"/>
  <c r="I33" i="1"/>
  <c r="N32" i="1"/>
  <c r="L32" i="1"/>
  <c r="K32" i="1"/>
  <c r="J32" i="1"/>
  <c r="I32" i="1"/>
  <c r="N31" i="1"/>
  <c r="L31" i="1"/>
  <c r="K31" i="1"/>
  <c r="J31" i="1"/>
  <c r="I31" i="1"/>
  <c r="N30" i="1"/>
  <c r="L30" i="1"/>
  <c r="K30" i="1"/>
  <c r="J30" i="1"/>
  <c r="I30" i="1"/>
  <c r="N29" i="1"/>
  <c r="L29" i="1"/>
  <c r="K29" i="1"/>
  <c r="J29" i="1"/>
  <c r="I29" i="1"/>
  <c r="N28" i="1"/>
  <c r="L28" i="1"/>
  <c r="K28" i="1"/>
  <c r="J28" i="1"/>
  <c r="I28" i="1"/>
  <c r="N27" i="1"/>
  <c r="L27" i="1"/>
  <c r="K27" i="1"/>
  <c r="J27" i="1"/>
  <c r="I27" i="1"/>
  <c r="N26" i="1"/>
  <c r="L26" i="1"/>
  <c r="K26" i="1"/>
  <c r="J26" i="1"/>
  <c r="I26" i="1"/>
  <c r="N25" i="1"/>
  <c r="L25" i="1"/>
  <c r="K25" i="1"/>
  <c r="J25" i="1"/>
  <c r="I25" i="1"/>
  <c r="N24" i="1"/>
  <c r="L24" i="1"/>
  <c r="K24" i="1"/>
  <c r="J24" i="1"/>
  <c r="I24" i="1"/>
  <c r="N23" i="1"/>
  <c r="L23" i="1"/>
  <c r="K23" i="1"/>
  <c r="J23" i="1"/>
  <c r="I23" i="1"/>
  <c r="N22" i="1"/>
  <c r="L22" i="1"/>
  <c r="K22" i="1"/>
  <c r="J22" i="1"/>
  <c r="I22" i="1"/>
  <c r="N21" i="1"/>
  <c r="L21" i="1"/>
  <c r="K21" i="1"/>
  <c r="J21" i="1"/>
  <c r="I21" i="1"/>
  <c r="N20" i="1"/>
  <c r="L20" i="1"/>
  <c r="K20" i="1"/>
  <c r="J20" i="1"/>
  <c r="I20" i="1"/>
  <c r="N19" i="1"/>
  <c r="L19" i="1"/>
  <c r="K19" i="1"/>
  <c r="J19" i="1"/>
  <c r="I19" i="1"/>
  <c r="N18" i="1"/>
  <c r="L18" i="1"/>
  <c r="K18" i="1"/>
  <c r="J18" i="1"/>
  <c r="I18" i="1"/>
  <c r="N17" i="1"/>
  <c r="L17" i="1"/>
  <c r="K17" i="1"/>
  <c r="J17" i="1"/>
  <c r="I17" i="1"/>
  <c r="N16" i="1"/>
  <c r="L16" i="1"/>
  <c r="K16" i="1"/>
  <c r="J16" i="1"/>
  <c r="I16" i="1"/>
  <c r="N15" i="1"/>
  <c r="L15" i="1"/>
  <c r="K15" i="1"/>
  <c r="J15" i="1"/>
  <c r="I15" i="1"/>
  <c r="N14" i="1"/>
  <c r="L14" i="1"/>
  <c r="K14" i="1"/>
  <c r="J14" i="1"/>
  <c r="I14" i="1"/>
  <c r="L13" i="1"/>
  <c r="K13" i="1"/>
  <c r="J13" i="1"/>
  <c r="I13" i="1"/>
  <c r="L12" i="1"/>
  <c r="J12" i="1"/>
  <c r="I12" i="1"/>
  <c r="L11" i="1"/>
  <c r="J11" i="1"/>
  <c r="I11" i="1"/>
  <c r="L10" i="1"/>
  <c r="J10" i="1"/>
  <c r="I10" i="1"/>
  <c r="L9" i="1"/>
  <c r="J9" i="1"/>
  <c r="I9" i="1"/>
  <c r="L8" i="1"/>
  <c r="J8" i="1"/>
  <c r="I8" i="1"/>
  <c r="L7" i="1"/>
  <c r="J7" i="1"/>
  <c r="I7" i="1"/>
  <c r="L6" i="1"/>
  <c r="J6" i="1"/>
  <c r="I6" i="1"/>
  <c r="L5" i="1"/>
  <c r="J5" i="1"/>
  <c r="I5" i="1"/>
  <c r="L4" i="1"/>
  <c r="J4" i="1"/>
  <c r="I4" i="1"/>
  <c r="L3" i="1"/>
  <c r="J3" i="1"/>
  <c r="I3" i="1"/>
  <c r="L2" i="1"/>
  <c r="J2" i="1"/>
  <c r="O2" i="1" s="1"/>
  <c r="I2" i="1"/>
  <c r="M18" i="1" l="1"/>
  <c r="M61" i="1"/>
  <c r="M31" i="1"/>
  <c r="M47" i="1"/>
  <c r="M43" i="1"/>
  <c r="M3" i="1"/>
  <c r="M26" i="1"/>
  <c r="M57" i="1"/>
  <c r="M66" i="1"/>
  <c r="M30" i="1"/>
  <c r="M39" i="1"/>
  <c r="M53" i="1"/>
  <c r="M35" i="1"/>
  <c r="M22" i="1"/>
  <c r="M8" i="1"/>
  <c r="M14" i="1"/>
  <c r="M27" i="1"/>
  <c r="M45" i="1"/>
  <c r="Q6" i="1"/>
  <c r="M23" i="1"/>
  <c r="M2" i="1"/>
  <c r="M19" i="1"/>
  <c r="M9" i="1"/>
  <c r="M73" i="1"/>
  <c r="Q7" i="1"/>
  <c r="M15" i="1"/>
  <c r="M69" i="1"/>
  <c r="M49" i="1"/>
  <c r="M62" i="1"/>
  <c r="M41" i="1"/>
  <c r="M58" i="1"/>
  <c r="M54" i="1"/>
  <c r="M29" i="1"/>
  <c r="M25" i="1"/>
  <c r="M50" i="1"/>
  <c r="M37" i="1"/>
  <c r="M42" i="1"/>
  <c r="M63" i="1"/>
  <c r="M71" i="1"/>
  <c r="M33" i="1"/>
  <c r="M21" i="1"/>
  <c r="M46" i="1"/>
  <c r="M17" i="1"/>
  <c r="M38" i="1"/>
  <c r="M13" i="1"/>
  <c r="M59" i="1"/>
  <c r="Q5" i="1"/>
  <c r="M10" i="1"/>
  <c r="M55" i="1"/>
  <c r="M67" i="1"/>
  <c r="M5" i="1"/>
  <c r="M51" i="1"/>
  <c r="M4" i="1"/>
  <c r="Q3" i="1"/>
  <c r="M16" i="1"/>
  <c r="M20" i="1"/>
  <c r="M24" i="1"/>
  <c r="M28" i="1"/>
  <c r="M32" i="1"/>
  <c r="M36" i="1"/>
  <c r="M40" i="1"/>
  <c r="M44" i="1"/>
  <c r="M48" i="1"/>
  <c r="M52" i="1"/>
  <c r="M56" i="1"/>
  <c r="M60" i="1"/>
  <c r="M64" i="1"/>
  <c r="M6" i="1"/>
  <c r="M11" i="1"/>
  <c r="M68" i="1"/>
  <c r="M72" i="1"/>
  <c r="M7" i="1"/>
  <c r="M12" i="1"/>
  <c r="AC77" i="1"/>
  <c r="AC76" i="1"/>
  <c r="T30" i="1"/>
  <c r="V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<sst xmlns="http://schemas.openxmlformats.org/spreadsheetml/2006/main" count="388" uniqueCount="188">
  <si>
    <t>Country</t>
  </si>
  <si>
    <t>Region</t>
  </si>
  <si>
    <t>Year</t>
  </si>
  <si>
    <t>Infant_deaths</t>
  </si>
  <si>
    <t>Under_five_deaths</t>
  </si>
  <si>
    <t>Adult_mortality</t>
  </si>
  <si>
    <t>BMI</t>
  </si>
  <si>
    <t>Life_expectancy</t>
  </si>
  <si>
    <t>round</t>
  </si>
  <si>
    <t>sqrt</t>
  </si>
  <si>
    <t>left</t>
  </si>
  <si>
    <t>right</t>
  </si>
  <si>
    <t>rank</t>
  </si>
  <si>
    <t>len</t>
  </si>
  <si>
    <t>Middle East</t>
  </si>
  <si>
    <t>European Union</t>
  </si>
  <si>
    <t>Asia</t>
  </si>
  <si>
    <t>South America</t>
  </si>
  <si>
    <t>min</t>
  </si>
  <si>
    <t>max</t>
  </si>
  <si>
    <t>Costa Rica</t>
  </si>
  <si>
    <t>Central America and Caribbean</t>
  </si>
  <si>
    <t xml:space="preserve"> sum BMI</t>
  </si>
  <si>
    <t>Rest of Europe</t>
  </si>
  <si>
    <t>average BMI</t>
  </si>
  <si>
    <t>median BMI</t>
  </si>
  <si>
    <t>Jordan</t>
  </si>
  <si>
    <t>Malta</t>
  </si>
  <si>
    <t>Bahamas, The</t>
  </si>
  <si>
    <t>Ukraine</t>
  </si>
  <si>
    <t>Switzerland</t>
  </si>
  <si>
    <t>Norway</t>
  </si>
  <si>
    <t>Finland</t>
  </si>
  <si>
    <t>Comoros</t>
  </si>
  <si>
    <t>Africa</t>
  </si>
  <si>
    <t>Japan</t>
  </si>
  <si>
    <t>Gabon</t>
  </si>
  <si>
    <t>Ghana</t>
  </si>
  <si>
    <t>Philippines</t>
  </si>
  <si>
    <t>Congo, Rep.</t>
  </si>
  <si>
    <t>Madagascar</t>
  </si>
  <si>
    <t>Estonia</t>
  </si>
  <si>
    <t>Belize</t>
  </si>
  <si>
    <t>Kazakhstan</t>
  </si>
  <si>
    <t>Cameroon</t>
  </si>
  <si>
    <t>Zimbabwe</t>
  </si>
  <si>
    <t>Bhutan</t>
  </si>
  <si>
    <t>South Africa</t>
  </si>
  <si>
    <t>Eritrea</t>
  </si>
  <si>
    <t>Germany</t>
  </si>
  <si>
    <t>Saudi Arabia</t>
  </si>
  <si>
    <t>Kiribati</t>
  </si>
  <si>
    <t>Oceania</t>
  </si>
  <si>
    <t>Seychelles</t>
  </si>
  <si>
    <t>Singapore</t>
  </si>
  <si>
    <t>Togo</t>
  </si>
  <si>
    <t>Denmark</t>
  </si>
  <si>
    <t>Gambia, The</t>
  </si>
  <si>
    <t>Sweden</t>
  </si>
  <si>
    <t>Austria</t>
  </si>
  <si>
    <t>Kyrgyz Republic</t>
  </si>
  <si>
    <t>Grenada</t>
  </si>
  <si>
    <t>Brunei Darussalam</t>
  </si>
  <si>
    <t>Greece</t>
  </si>
  <si>
    <t>Uruguay</t>
  </si>
  <si>
    <t>Croatia</t>
  </si>
  <si>
    <t>Romania</t>
  </si>
  <si>
    <t>Central African Republic</t>
  </si>
  <si>
    <t>Algeria</t>
  </si>
  <si>
    <t>Yemen, Rep.</t>
  </si>
  <si>
    <t>Armenia</t>
  </si>
  <si>
    <t>St. Vincent and the Grenadines</t>
  </si>
  <si>
    <t>Kenya</t>
  </si>
  <si>
    <t>Micronesia, Fed. Sts.</t>
  </si>
  <si>
    <t>Antigua and Barbuda</t>
  </si>
  <si>
    <t>Nepal</t>
  </si>
  <si>
    <t>Lithuania</t>
  </si>
  <si>
    <t>Vanuatu</t>
  </si>
  <si>
    <t>Afghanistan</t>
  </si>
  <si>
    <t>Kuwait</t>
  </si>
  <si>
    <t>round squre</t>
  </si>
  <si>
    <t>ADVANCE EXCEL</t>
  </si>
  <si>
    <t>today</t>
  </si>
  <si>
    <t>EOMONTH</t>
  </si>
  <si>
    <t>net work</t>
  </si>
  <si>
    <t>weekday</t>
  </si>
  <si>
    <t>year</t>
  </si>
  <si>
    <t>month</t>
  </si>
  <si>
    <t>day</t>
  </si>
  <si>
    <t>TEXT FUNCTIONS</t>
  </si>
  <si>
    <t>replace</t>
  </si>
  <si>
    <t>mid</t>
  </si>
  <si>
    <t>find</t>
  </si>
  <si>
    <t xml:space="preserve">European </t>
  </si>
  <si>
    <t>search</t>
  </si>
  <si>
    <t>concatenate</t>
  </si>
  <si>
    <t>sub-new</t>
  </si>
  <si>
    <t>product</t>
  </si>
  <si>
    <t>fact</t>
  </si>
  <si>
    <t>mod</t>
  </si>
  <si>
    <t>roundup</t>
  </si>
  <si>
    <t>rounddown</t>
  </si>
  <si>
    <t>sumif</t>
  </si>
  <si>
    <t>Date</t>
  </si>
  <si>
    <t>Product</t>
  </si>
  <si>
    <t>Color</t>
  </si>
  <si>
    <t>Value</t>
  </si>
  <si>
    <t>Laptop</t>
  </si>
  <si>
    <t>Black</t>
  </si>
  <si>
    <t>South</t>
  </si>
  <si>
    <t>Mobile</t>
  </si>
  <si>
    <t>Blue</t>
  </si>
  <si>
    <t>North</t>
  </si>
  <si>
    <t>Tablet</t>
  </si>
  <si>
    <t>White</t>
  </si>
  <si>
    <t>East</t>
  </si>
  <si>
    <t>Red</t>
  </si>
  <si>
    <t>West</t>
  </si>
  <si>
    <t>total</t>
  </si>
  <si>
    <t>red</t>
  </si>
  <si>
    <t>Black+soutn</t>
  </si>
  <si>
    <t>laptop+black+south</t>
  </si>
  <si>
    <t>sumifs</t>
  </si>
  <si>
    <t>avg</t>
  </si>
  <si>
    <t>avgif</t>
  </si>
  <si>
    <t>blue</t>
  </si>
  <si>
    <t>avgifs</t>
  </si>
  <si>
    <t>white+east</t>
  </si>
  <si>
    <t>blue+mobile+north</t>
  </si>
  <si>
    <t>round-product</t>
  </si>
  <si>
    <t>sum</t>
  </si>
  <si>
    <t>MATH FUNCTIONS</t>
  </si>
  <si>
    <t>VLOOKUP</t>
  </si>
  <si>
    <t>HLOOKUP</t>
  </si>
  <si>
    <t>black</t>
  </si>
  <si>
    <t>MATCH</t>
  </si>
  <si>
    <t>laptop</t>
  </si>
  <si>
    <t>INDEX</t>
  </si>
  <si>
    <t>white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</si>
  <si>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</si>
  <si>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</si>
  <si>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</si>
  <si>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</si>
  <si>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</si>
  <si>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</si>
  <si>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</si>
  <si>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</si>
  <si>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</si>
  <si>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</si>
  <si>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XLOOPUP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</si>
  <si>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</si>
  <si>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AGE</t>
  </si>
  <si>
    <t>IF</t>
  </si>
  <si>
    <t>IFELSE</t>
  </si>
  <si>
    <t>sub1</t>
  </si>
  <si>
    <t>sub2</t>
  </si>
  <si>
    <t>AND</t>
  </si>
  <si>
    <t>OR</t>
  </si>
  <si>
    <t>result AND</t>
  </si>
  <si>
    <t>reslut OR</t>
  </si>
  <si>
    <t>XOR</t>
  </si>
  <si>
    <t>NOT(AND)</t>
  </si>
  <si>
    <t>IFELSE LADER</t>
  </si>
  <si>
    <t>CONDITIONAL FUNC</t>
  </si>
  <si>
    <t>LOGICAL FUNC</t>
  </si>
  <si>
    <t>LOOKUP FUNC</t>
  </si>
  <si>
    <t>STATISTICAL FUNC</t>
  </si>
  <si>
    <t>COUNT</t>
  </si>
  <si>
    <t>COUNTA</t>
  </si>
  <si>
    <t>COUNTBLANK</t>
  </si>
  <si>
    <t>COUNTIFS</t>
  </si>
  <si>
    <t>Sno</t>
  </si>
  <si>
    <t>MEAN</t>
  </si>
  <si>
    <t>MEDIAN</t>
  </si>
  <si>
    <t>MODE</t>
  </si>
  <si>
    <t>CORREL</t>
  </si>
  <si>
    <t>STDEV</t>
  </si>
  <si>
    <t>CRITERIA</t>
  </si>
  <si>
    <t>asia</t>
  </si>
  <si>
    <t>eurpean union</t>
  </si>
  <si>
    <t>IMAGES IN EXCEL</t>
  </si>
  <si>
    <t>COMPANY</t>
  </si>
  <si>
    <t>LOGO</t>
  </si>
  <si>
    <t>SALES</t>
  </si>
  <si>
    <t>GOOGLE</t>
  </si>
  <si>
    <t>NIKE</t>
  </si>
  <si>
    <t>NETFLIX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</si>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</sst>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F119F"/>
        <bgColor indexed="64"/>
      </patternFill>
    </fill>
    <fill>
      <patternFill patternType="solid">
        <fgColor rgb="FFDF7BCA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4" fillId="3" borderId="1" applyNumberFormat="0" applyAlignment="0" applyProtection="0"/>
    <xf numFmtId="0" fontId="2" fillId="4" borderId="0" applyNumberFormat="0" applyBorder="0" applyAlignment="0" applyProtection="0"/>
    <xf numFmtId="0" fontId="10" fillId="16" borderId="0" applyNumberFormat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5" fillId="0" borderId="0" xfId="0" applyFont="1"/>
    <xf numFmtId="0" fontId="0" fillId="6" borderId="0" xfId="0" applyFill="1"/>
    <xf numFmtId="0" fontId="0" fillId="8" borderId="0" xfId="0" applyFill="1"/>
    <xf numFmtId="14" fontId="0" fillId="8" borderId="0" xfId="0" applyNumberFormat="1" applyFill="1"/>
    <xf numFmtId="0" fontId="5" fillId="0" borderId="0" xfId="0" applyFont="1" applyAlignment="1">
      <alignment horizontal="center" vertical="center" wrapText="1"/>
    </xf>
    <xf numFmtId="0" fontId="7" fillId="11" borderId="0" xfId="0" applyFont="1" applyFill="1"/>
    <xf numFmtId="0" fontId="6" fillId="11" borderId="0" xfId="0" applyFont="1" applyFill="1"/>
    <xf numFmtId="0" fontId="0" fillId="13" borderId="0" xfId="0" applyFill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9" fillId="15" borderId="3" xfId="0" applyFont="1" applyFill="1" applyBorder="1"/>
    <xf numFmtId="0" fontId="9" fillId="15" borderId="4" xfId="0" applyFont="1" applyFill="1" applyBorder="1"/>
    <xf numFmtId="0" fontId="9" fillId="15" borderId="5" xfId="0" applyFont="1" applyFill="1" applyBorder="1"/>
    <xf numFmtId="0" fontId="6" fillId="14" borderId="3" xfId="0" applyFont="1" applyFill="1" applyBorder="1"/>
    <xf numFmtId="0" fontId="6" fillId="14" borderId="4" xfId="0" applyFont="1" applyFill="1" applyBorder="1"/>
    <xf numFmtId="0" fontId="6" fillId="14" borderId="5" xfId="0" applyFont="1" applyFill="1" applyBorder="1"/>
    <xf numFmtId="0" fontId="0" fillId="0" borderId="5" xfId="0" applyBorder="1"/>
    <xf numFmtId="0" fontId="1" fillId="17" borderId="2" xfId="0" applyFont="1" applyFill="1" applyBorder="1"/>
    <xf numFmtId="0" fontId="0" fillId="18" borderId="2" xfId="0" applyFill="1" applyBorder="1"/>
    <xf numFmtId="14" fontId="0" fillId="0" borderId="2" xfId="0" applyNumberFormat="1" applyBorder="1"/>
    <xf numFmtId="0" fontId="0" fillId="7" borderId="2" xfId="0" applyFill="1" applyBorder="1"/>
    <xf numFmtId="0" fontId="5" fillId="9" borderId="2" xfId="0" applyFont="1" applyFill="1" applyBorder="1"/>
    <xf numFmtId="0" fontId="0" fillId="12" borderId="2" xfId="0" applyFill="1" applyBorder="1"/>
    <xf numFmtId="0" fontId="8" fillId="10" borderId="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4" fillId="3" borderId="7" xfId="2" applyBorder="1" applyAlignment="1">
      <alignment vertical="center" wrapText="1"/>
    </xf>
    <xf numFmtId="0" fontId="2" fillId="4" borderId="7" xfId="3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2" borderId="7" xfId="1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4" borderId="10" xfId="3" applyBorder="1" applyAlignment="1">
      <alignment vertical="center" wrapText="1"/>
    </xf>
    <xf numFmtId="0" fontId="7" fillId="11" borderId="2" xfId="0" applyFont="1" applyFill="1" applyBorder="1"/>
    <xf numFmtId="0" fontId="0" fillId="7" borderId="2" xfId="0" applyFill="1" applyBorder="1" applyAlignment="1">
      <alignment vertical="center" wrapText="1"/>
    </xf>
    <xf numFmtId="0" fontId="0" fillId="10" borderId="3" xfId="0" applyFill="1" applyBorder="1"/>
    <xf numFmtId="0" fontId="0" fillId="0" borderId="4" xfId="0" applyBorder="1"/>
    <xf numFmtId="0" fontId="5" fillId="10" borderId="6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4" fillId="3" borderId="9" xfId="2" applyBorder="1" applyAlignment="1">
      <alignment vertical="center" wrapText="1"/>
    </xf>
    <xf numFmtId="0" fontId="2" fillId="4" borderId="9" xfId="3" applyBorder="1" applyAlignment="1">
      <alignment vertical="center" wrapText="1"/>
    </xf>
    <xf numFmtId="0" fontId="3" fillId="2" borderId="9" xfId="1" applyBorder="1" applyAlignment="1">
      <alignment vertical="center" wrapText="1"/>
    </xf>
    <xf numFmtId="0" fontId="11" fillId="5" borderId="0" xfId="0" applyFont="1" applyFill="1"/>
    <xf numFmtId="0" fontId="1" fillId="19" borderId="2" xfId="0" applyFont="1" applyFill="1" applyBorder="1"/>
    <xf numFmtId="0" fontId="5" fillId="19" borderId="0" xfId="0" applyFont="1" applyFill="1"/>
    <xf numFmtId="0" fontId="3" fillId="2" borderId="2" xfId="1" applyBorder="1"/>
    <xf numFmtId="0" fontId="10" fillId="16" borderId="2" xfId="4" applyBorder="1"/>
    <xf numFmtId="0" fontId="10" fillId="16" borderId="9" xfId="4" applyBorder="1"/>
    <xf numFmtId="0" fontId="15" fillId="20" borderId="2" xfId="0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3" fontId="12" fillId="0" borderId="2" xfId="0" applyNumberFormat="1" applyFont="1" applyBorder="1" applyAlignment="1">
      <alignment vertical="center"/>
    </xf>
    <xf numFmtId="0" fontId="14" fillId="21" borderId="0" xfId="0" applyFont="1" applyFill="1"/>
  </cellXfs>
  <cellStyles count="5">
    <cellStyle name="60% - Accent1" xfId="3" builtinId="32"/>
    <cellStyle name="Bad" xfId="1" builtinId="27"/>
    <cellStyle name="Check Cell" xfId="2" builtinId="23"/>
    <cellStyle name="Good" xfId="4" builtinId="26"/>
    <cellStyle name="Normal" xfId="0" builtinId="0"/>
  </cellStyles>
  <dxfs count="4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DF7BCA"/>
      <color rgb="FF7D559B"/>
      <color rgb="FFBD9933"/>
      <color rgb="FF9F11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Color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Black</c:v>
              </c:pt>
              <c:pt idx="1">
                <c:v>Blue</c:v>
              </c:pt>
              <c:pt idx="2">
                <c:v>Red</c:v>
              </c:pt>
              <c:pt idx="3">
                <c:v>White</c:v>
              </c:pt>
            </c:strLit>
          </c:cat>
          <c:val>
            <c:numLit>
              <c:formatCode>General</c:formatCode>
              <c:ptCount val="4"/>
              <c:pt idx="0">
                <c:v>3</c:v>
              </c:pt>
              <c:pt idx="1">
                <c:v>4</c:v>
              </c:pt>
              <c:pt idx="2">
                <c:v>1</c:v>
              </c:pt>
              <c:pt idx="3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8795-4B00-A967-01AC77DACF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02727695"/>
        <c:axId val="302731055"/>
      </c:barChart>
      <c:catAx>
        <c:axId val="30272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731055"/>
        <c:crosses val="autoZero"/>
        <c:auto val="1"/>
        <c:lblAlgn val="ctr"/>
        <c:lblOffset val="100"/>
        <c:noMultiLvlLbl val="0"/>
      </c:catAx>
      <c:valAx>
        <c:axId val="3027310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0272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Sheet1!$V$35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Sheet1!$V$36:$V$45</c:f>
              <c:numCache>
                <c:formatCode>General</c:formatCode>
                <c:ptCount val="10"/>
                <c:pt idx="0">
                  <c:v>45000</c:v>
                </c:pt>
                <c:pt idx="1">
                  <c:v>25000</c:v>
                </c:pt>
                <c:pt idx="2">
                  <c:v>40000</c:v>
                </c:pt>
                <c:pt idx="3">
                  <c:v>18000</c:v>
                </c:pt>
                <c:pt idx="4">
                  <c:v>27000</c:v>
                </c:pt>
                <c:pt idx="5">
                  <c:v>42000</c:v>
                </c:pt>
                <c:pt idx="6">
                  <c:v>19000</c:v>
                </c:pt>
                <c:pt idx="7">
                  <c:v>26000</c:v>
                </c:pt>
                <c:pt idx="8">
                  <c:v>43000</c:v>
                </c:pt>
                <c:pt idx="9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E-4D95-BC62-DE718A184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3901535"/>
        <c:axId val="243902975"/>
        <c:axId val="0"/>
      </c:bar3DChart>
      <c:catAx>
        <c:axId val="243901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02975"/>
        <c:crosses val="autoZero"/>
        <c:auto val="1"/>
        <c:lblAlgn val="ctr"/>
        <c:lblOffset val="100"/>
        <c:noMultiLvlLbl val="0"/>
      </c:catAx>
      <c:valAx>
        <c:axId val="24390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0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jpe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552450</xdr:colOff>
      <xdr:row>17</xdr:row>
      <xdr:rowOff>171450</xdr:rowOff>
    </xdr:from>
    <xdr:to>
      <xdr:col>29</xdr:col>
      <xdr:colOff>323850</xdr:colOff>
      <xdr:row>32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93DA41-802F-45A3-B493-708F5EB2F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190500</xdr:colOff>
      <xdr:row>34</xdr:row>
      <xdr:rowOff>114299</xdr:rowOff>
    </xdr:from>
    <xdr:to>
      <xdr:col>32</xdr:col>
      <xdr:colOff>38100</xdr:colOff>
      <xdr:row>45</xdr:row>
      <xdr:rowOff>52386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D213E3A-C563-D9B1-DE46-20F5B0605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180975</xdr:colOff>
      <xdr:row>82</xdr:row>
      <xdr:rowOff>238125</xdr:rowOff>
    </xdr:from>
    <xdr:to>
      <xdr:col>16</xdr:col>
      <xdr:colOff>1838325</xdr:colOff>
      <xdr:row>82</xdr:row>
      <xdr:rowOff>838201</xdr:rowOff>
    </xdr:to>
    <xdr:pic>
      <xdr:nvPicPr>
        <xdr:cNvPr id="3" name="Picture 2" descr="Google thwarts the greatest widespread DDoS attempt to have hit the ...">
          <a:extLst>
            <a:ext uri="{FF2B5EF4-FFF2-40B4-BE49-F238E27FC236}">
              <a16:creationId xmlns:a16="http://schemas.microsoft.com/office/drawing/2014/main" id="{B6EBA983-ACC3-232D-F133-BA5ED5E15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0075" y="16668750"/>
          <a:ext cx="1657350" cy="600076"/>
        </a:xfrm>
        <a:prstGeom prst="rect">
          <a:avLst/>
        </a:prstGeom>
        <a:noFill/>
        <a:effectLst>
          <a:glow rad="63500">
            <a:schemeClr val="accent5">
              <a:lumMod val="60000"/>
              <a:lumOff val="40000"/>
              <a:alpha val="40000"/>
            </a:schemeClr>
          </a:glow>
          <a:outerShdw blurRad="50800" dist="38100" dir="13500000" algn="br" rotWithShape="0">
            <a:prstClr val="black">
              <a:alpha val="76000"/>
            </a:prstClr>
          </a:outerShdw>
        </a:effectLst>
        <a:scene3d>
          <a:camera prst="orthographicFront">
            <a:rot lat="0" lon="20699940" rev="300000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84</xdr:row>
      <xdr:rowOff>0</xdr:rowOff>
    </xdr:from>
    <xdr:to>
      <xdr:col>16</xdr:col>
      <xdr:colOff>304800</xdr:colOff>
      <xdr:row>84</xdr:row>
      <xdr:rowOff>304800</xdr:rowOff>
    </xdr:to>
    <xdr:sp macro="" textlink="">
      <xdr:nvSpPr>
        <xdr:cNvPr id="1028" name="AutoShape 4" descr="Netflix Logo, symbol, meaning, history, PNG, brand">
          <a:extLst>
            <a:ext uri="{FF2B5EF4-FFF2-40B4-BE49-F238E27FC236}">
              <a16:creationId xmlns:a16="http://schemas.microsoft.com/office/drawing/2014/main" id="{52455365-58AF-3474-022C-6FD836BED74A}"/>
            </a:ext>
          </a:extLst>
        </xdr:cNvPr>
        <xdr:cNvSpPr>
          <a:spLocks noChangeAspect="1" noChangeArrowheads="1"/>
        </xdr:cNvSpPr>
      </xdr:nvSpPr>
      <xdr:spPr bwMode="auto">
        <a:xfrm>
          <a:off x="11649075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206959</xdr:colOff>
      <xdr:row>84</xdr:row>
      <xdr:rowOff>161925</xdr:rowOff>
    </xdr:from>
    <xdr:to>
      <xdr:col>16</xdr:col>
      <xdr:colOff>1857374</xdr:colOff>
      <xdr:row>84</xdr:row>
      <xdr:rowOff>609600</xdr:rowOff>
    </xdr:to>
    <xdr:pic>
      <xdr:nvPicPr>
        <xdr:cNvPr id="5" name="Picture 4" descr="Exploring the evolution of the Netflix logo over time - abella diseño ...">
          <a:extLst>
            <a:ext uri="{FF2B5EF4-FFF2-40B4-BE49-F238E27FC236}">
              <a16:creationId xmlns:a16="http://schemas.microsoft.com/office/drawing/2014/main" id="{DF80427B-A9D0-CFE8-E23E-6DA60E25B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6034" y="18421350"/>
          <a:ext cx="1650415" cy="447675"/>
        </a:xfrm>
        <a:prstGeom prst="rect">
          <a:avLst/>
        </a:prstGeom>
        <a:noFill/>
        <a:effectLst>
          <a:outerShdw blurRad="50800" dist="38100" algn="l" rotWithShape="0">
            <a:prstClr val="black">
              <a:alpha val="40000"/>
            </a:prstClr>
          </a:outerShdw>
          <a:reflection blurRad="6350" stA="50000" endA="300" endPos="55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381000</xdr:colOff>
      <xdr:row>85</xdr:row>
      <xdr:rowOff>218558</xdr:rowOff>
    </xdr:from>
    <xdr:to>
      <xdr:col>16</xdr:col>
      <xdr:colOff>1771650</xdr:colOff>
      <xdr:row>85</xdr:row>
      <xdr:rowOff>800100</xdr:rowOff>
    </xdr:to>
    <xdr:pic>
      <xdr:nvPicPr>
        <xdr:cNvPr id="6" name="Picture 5" descr="Nike Logo SVG File | Etsy">
          <a:extLst>
            <a:ext uri="{FF2B5EF4-FFF2-40B4-BE49-F238E27FC236}">
              <a16:creationId xmlns:a16="http://schemas.microsoft.com/office/drawing/2014/main" id="{B3A9D347-B980-1B3B-9E95-F5263E699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0075" y="19506683"/>
          <a:ext cx="1390650" cy="581542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82000"/>
            </a:prstClr>
          </a:outerShdw>
        </a:effectLst>
        <a:scene3d>
          <a:camera prst="orthographicFront"/>
          <a:lightRig rig="threePt" dir="t"/>
        </a:scene3d>
        <a:sp3d prstMaterial="matte"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257176</xdr:colOff>
      <xdr:row>83</xdr:row>
      <xdr:rowOff>98548</xdr:rowOff>
    </xdr:from>
    <xdr:to>
      <xdr:col>16</xdr:col>
      <xdr:colOff>1657350</xdr:colOff>
      <xdr:row>83</xdr:row>
      <xdr:rowOff>908807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F2A7DCD-D255-FAA9-5DD1-5BF4C37A4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06251" y="17338798"/>
          <a:ext cx="1400174" cy="810259"/>
        </a:xfrm>
        <a:prstGeom prst="rect">
          <a:avLst/>
        </a:prstGeom>
        <a:effectLst>
          <a:outerShdw blurRad="50800" dist="38100" dir="13500000" algn="br" rotWithShape="0">
            <a:schemeClr val="tx1">
              <a:alpha val="67000"/>
            </a:scheme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9D5EB-21CD-4F95-B4D9-77EE05941325}" name="Table1" displayName="Table1" ref="R35:V45" totalsRowShown="0" headerRowDxfId="45" dataDxfId="43" headerRowBorderDxfId="44" tableBorderDxfId="42" totalsRowBorderDxfId="41">
  <tableColumns count="5">
    <tableColumn id="1" xr3:uid="{352A10C5-BB0B-4FDE-80AE-455386BE9667}" name="Date" dataDxfId="40"/>
    <tableColumn id="2" xr3:uid="{AF5F652D-9D24-4F0D-B2E5-75839B937743}" name="Product" dataDxfId="39"/>
    <tableColumn id="3" xr3:uid="{1337D5F0-4009-40FC-987E-98F283D33A09}" name="Color" dataDxfId="38"/>
    <tableColumn id="4" xr3:uid="{15F381C3-CC15-4D66-BE0D-5C34F3CE9514}" name="Region" dataDxfId="37"/>
    <tableColumn id="5" xr3:uid="{EF05EFBA-A936-4944-9FBB-1C57F0175CCD}" name="Value" dataDxfId="36" dataCellStyle="Ba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705D9D-B5F0-43AB-A4FB-9C346BA609AC}" name="Table2" displayName="Table2" ref="R59:AB63" totalsRowShown="0" headerRowDxfId="35" dataDxfId="33" headerRowBorderDxfId="34" tableBorderDxfId="32" totalsRowBorderDxfId="31" headerRowCellStyle="Normal">
  <tableColumns count="11">
    <tableColumn id="1" xr3:uid="{D22DCEB6-CE53-48B7-888E-F9520577C052}" name="Date" dataDxfId="30"/>
    <tableColumn id="2" xr3:uid="{72FE7388-4DCD-4F56-8166-F5D4C7C433F2}" name="01-01-2026" dataDxfId="29"/>
    <tableColumn id="3" xr3:uid="{ABC075EC-3482-4BBB-AB97-2BF9A0B3095B}" name="02-01-2026" dataDxfId="28"/>
    <tableColumn id="4" xr3:uid="{556B3271-F900-4258-A590-D4F8AE1E42BE}" name="03-01-2026" dataDxfId="27"/>
    <tableColumn id="5" xr3:uid="{3BBD822D-9D79-4CB3-A693-7812BDFFD990}" name="04-01-2026" dataDxfId="26"/>
    <tableColumn id="6" xr3:uid="{E2BE5FB2-0857-414B-B465-B307B5C0C26C}" name="05-01-2026" dataDxfId="25"/>
    <tableColumn id="7" xr3:uid="{88DB2FBF-D34F-428A-AAF9-C58DF242D286}" name="06-01-2026" dataDxfId="24"/>
    <tableColumn id="8" xr3:uid="{53361D26-9ECC-4947-B8AE-28AB306832C5}" name="07-01-2026" dataDxfId="23"/>
    <tableColumn id="9" xr3:uid="{132D6E72-03C5-4E8D-B8CD-19DD4F586120}" name="08-01-2026" dataDxfId="22"/>
    <tableColumn id="10" xr3:uid="{C9F005A5-F68A-42E7-84F6-4B1B4FA925AA}" name="09-01-2026" dataDxfId="21"/>
    <tableColumn id="11" xr3:uid="{66345DBD-3BCB-4A0B-BF3D-65589837D660}" name="10-01-2026" dataDxfId="2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8BAC89-08BD-4E81-8B91-B802BCFB6257}" name="Table3" displayName="Table3" ref="Q70:T77" totalsRowShown="0" headerRowDxfId="19" headerRowBorderDxfId="18" tableBorderDxfId="17" totalsRowBorderDxfId="16">
  <tableColumns count="4">
    <tableColumn id="1" xr3:uid="{9A7CC5F0-4E9F-4F2E-834A-3F35DE3F9452}" name="AGE" dataDxfId="15"/>
    <tableColumn id="2" xr3:uid="{0D6AEBE5-826C-4A88-88CC-6FFC709131F9}" name="IF" dataDxfId="14"/>
    <tableColumn id="3" xr3:uid="{AC2F8A01-D984-4CBB-8879-86004F1B1B23}" name="IFELSE" dataDxfId="13">
      <calculatedColumnFormula>IF(Table3[[#This Row],[AGE]]&lt;10,"under10",IF(Table3[[#This Row],[AGE]]&gt;15,"above 15","10-15"))</calculatedColumnFormula>
    </tableColumn>
    <tableColumn id="4" xr3:uid="{896FF462-17D8-41AC-B8BB-0D6C823B0519}" name="IFELSE LADER" dataDxfId="12">
      <calculatedColumnFormula>IF(Table3[[#This Row],[AGE]]&gt;=20,"20-30",IF(Table3[[#This Row],[AGE]]&gt;=30,"30-40",IF(Table3[[#This Row],[AGE]]&gt;=40,"above 40","below 20")))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492118-5F5B-4637-83CD-B2572FDA4D7D}" name="Table4" displayName="Table4" ref="V70:AC77" totalsRowShown="0" headerRowDxfId="11" headerRowBorderDxfId="10" tableBorderDxfId="9" totalsRowBorderDxfId="8">
  <tableColumns count="8">
    <tableColumn id="1" xr3:uid="{FE050A8F-8E9B-4651-8D2C-423727540A36}" name="sub1" dataDxfId="7"/>
    <tableColumn id="2" xr3:uid="{BB18B355-273E-4FBE-BEAB-59443EAC6C81}" name="sub2" dataDxfId="6"/>
    <tableColumn id="3" xr3:uid="{D9A24812-73B9-4DE0-8946-984724DDD8E5}" name="AND" dataDxfId="5">
      <calculatedColumnFormula>AND(V71&gt;25,W71&gt;25)</calculatedColumnFormula>
    </tableColumn>
    <tableColumn id="4" xr3:uid="{8CE669BF-00B6-4CC5-B0F1-37CA1ADB8A15}" name="OR" dataDxfId="4">
      <calculatedColumnFormula>OR(V71&gt;25,W71&gt;25)</calculatedColumnFormula>
    </tableColumn>
    <tableColumn id="5" xr3:uid="{B1DB3CFB-D86D-4A75-9478-BD2359D99AF4}" name="result AND" dataDxfId="3">
      <calculatedColumnFormula>IF(X71,"Pass","Fail")</calculatedColumnFormula>
    </tableColumn>
    <tableColumn id="6" xr3:uid="{0D17751A-142D-4DB6-A6CE-1858522A2AD0}" name="reslut OR" dataDxfId="2">
      <calculatedColumnFormula>IF(Y71,"Pass","Fail")</calculatedColumnFormula>
    </tableColumn>
    <tableColumn id="7" xr3:uid="{B30B6391-2AF7-4927-B763-6CD587E80321}" name="XOR" dataDxfId="1">
      <calculatedColumnFormula>_xlfn.XOR(V71&gt;25,W71&gt;25)</calculatedColumnFormula>
    </tableColumn>
    <tableColumn id="8" xr3:uid="{2FDFC324-6FA4-47C4-9666-A83DC86DE7E5}" name="NOT(AND)" dataDxfId="0">
      <calculatedColumnFormula>NOT(X71)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B985-C9A3-4AEC-B746-39BD1860B523}">
  <dimension ref="A1:AC95"/>
  <sheetViews>
    <sheetView tabSelected="1" topLeftCell="K73" zoomScaleNormal="100" workbookViewId="0">
      <selection activeCell="U84" sqref="U84"/>
    </sheetView>
  </sheetViews>
  <sheetFormatPr defaultRowHeight="15" x14ac:dyDescent="0.25"/>
  <cols>
    <col min="5" max="5" width="16" customWidth="1"/>
    <col min="7" max="7" width="15" customWidth="1"/>
    <col min="8" max="8" width="11.28515625" customWidth="1"/>
    <col min="10" max="10" width="13.5703125" customWidth="1"/>
    <col min="11" max="11" width="10.5703125" customWidth="1"/>
    <col min="15" max="15" width="13" customWidth="1"/>
    <col min="16" max="16" width="16" customWidth="1"/>
    <col min="17" max="17" width="30.5703125" customWidth="1"/>
    <col min="18" max="18" width="18.85546875" customWidth="1"/>
    <col min="19" max="19" width="15.85546875" customWidth="1"/>
    <col min="20" max="20" width="12.5703125" customWidth="1"/>
    <col min="21" max="21" width="15.7109375" customWidth="1"/>
    <col min="22" max="22" width="14.85546875" customWidth="1"/>
    <col min="23" max="23" width="10.85546875" customWidth="1"/>
    <col min="24" max="26" width="12.5703125" customWidth="1"/>
    <col min="27" max="27" width="12.7109375" customWidth="1"/>
    <col min="28" max="28" width="12.5703125" customWidth="1"/>
    <col min="30" max="30" width="12.42578125" customWidth="1"/>
  </cols>
  <sheetData>
    <row r="1" spans="1:24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80</v>
      </c>
      <c r="R1" s="1"/>
      <c r="S1" s="50" t="s">
        <v>81</v>
      </c>
      <c r="V1" s="50" t="s">
        <v>89</v>
      </c>
    </row>
    <row r="2" spans="1:24" x14ac:dyDescent="0.25">
      <c r="A2" t="s">
        <v>34</v>
      </c>
      <c r="B2" t="s">
        <v>14</v>
      </c>
      <c r="C2">
        <v>2015</v>
      </c>
      <c r="D2">
        <v>11.1</v>
      </c>
      <c r="E2">
        <v>13</v>
      </c>
      <c r="F2">
        <v>105.824</v>
      </c>
      <c r="G2">
        <v>27.8</v>
      </c>
      <c r="H2">
        <v>76.5</v>
      </c>
      <c r="I2" s="24">
        <f t="shared" ref="I2:I33" si="0">ROUND(F2,2)</f>
        <v>105.82</v>
      </c>
      <c r="J2" s="24">
        <f t="shared" ref="J2:J33" si="1">SQRT(E2)</f>
        <v>3.6055512754639891</v>
      </c>
      <c r="K2" s="24" t="str">
        <f t="shared" ref="K2:K33" si="2">LEFT(A2,3)</f>
        <v>Afr</v>
      </c>
      <c r="L2" s="24" t="str">
        <f t="shared" ref="L2:L33" si="3">RIGHT(B2,3)</f>
        <v>ast</v>
      </c>
      <c r="M2" s="24">
        <f t="shared" ref="M2:M33" si="4">RANK(G2,G:G,1)</f>
        <v>64</v>
      </c>
      <c r="N2" s="24">
        <f>LEN(A2)</f>
        <v>6</v>
      </c>
      <c r="O2" s="24">
        <f>ROUND(SQRT(J2),1)</f>
        <v>1.9</v>
      </c>
      <c r="S2" s="2" t="s">
        <v>82</v>
      </c>
      <c r="T2" s="5">
        <f ca="1">TODAY()</f>
        <v>46175</v>
      </c>
      <c r="V2" s="25"/>
      <c r="W2" s="26" t="s">
        <v>92</v>
      </c>
      <c r="X2" s="26" t="s">
        <v>90</v>
      </c>
    </row>
    <row r="3" spans="1:24" x14ac:dyDescent="0.25">
      <c r="A3" t="s">
        <v>16</v>
      </c>
      <c r="B3" t="s">
        <v>15</v>
      </c>
      <c r="C3">
        <v>2015</v>
      </c>
      <c r="D3">
        <v>2.7</v>
      </c>
      <c r="E3">
        <v>3.3</v>
      </c>
      <c r="F3">
        <v>57.902500000000003</v>
      </c>
      <c r="G3">
        <v>26</v>
      </c>
      <c r="H3">
        <v>82.8</v>
      </c>
      <c r="I3" s="24">
        <f t="shared" si="0"/>
        <v>57.9</v>
      </c>
      <c r="J3" s="24">
        <f t="shared" si="1"/>
        <v>1.8165902124584949</v>
      </c>
      <c r="K3" s="24" t="str">
        <f t="shared" si="2"/>
        <v>Asi</v>
      </c>
      <c r="L3" s="24" t="str">
        <f t="shared" si="3"/>
        <v>ion</v>
      </c>
      <c r="M3" s="24">
        <f t="shared" si="4"/>
        <v>41</v>
      </c>
      <c r="N3" s="24">
        <f t="shared" ref="N3:N13" si="5">LEN(A3)</f>
        <v>4</v>
      </c>
      <c r="O3" s="24">
        <f t="shared" ref="O3:O34" si="6">ROUND(SQRT(E3),1)</f>
        <v>1.8</v>
      </c>
      <c r="P3" t="s">
        <v>18</v>
      </c>
      <c r="Q3" s="9">
        <f>MIN(F:F)</f>
        <v>15</v>
      </c>
      <c r="S3" s="2" t="s">
        <v>83</v>
      </c>
      <c r="T3" s="5">
        <f ca="1">EOMONTH(TODAY(),4)</f>
        <v>46326</v>
      </c>
      <c r="V3" s="11" t="s">
        <v>34</v>
      </c>
      <c r="W3" s="11" cm="1">
        <f t="array" ref="W3:W13">FIND("i",V3:V13,1)</f>
        <v>4</v>
      </c>
      <c r="X3" s="11" t="str" cm="1">
        <f t="array" ref="X3:X13">REPLACE(V3:V13,2,3,"abc")</f>
        <v>Aabcca</v>
      </c>
    </row>
    <row r="4" spans="1:24" x14ac:dyDescent="0.25">
      <c r="A4" t="s">
        <v>34</v>
      </c>
      <c r="B4" t="s">
        <v>16</v>
      </c>
      <c r="C4">
        <v>2007</v>
      </c>
      <c r="D4">
        <v>51.5</v>
      </c>
      <c r="E4">
        <v>67.900000000000006</v>
      </c>
      <c r="F4">
        <v>201.07650000000001</v>
      </c>
      <c r="G4">
        <v>21.2</v>
      </c>
      <c r="H4">
        <v>65.400000000000006</v>
      </c>
      <c r="I4" s="24">
        <f t="shared" si="0"/>
        <v>201.08</v>
      </c>
      <c r="J4" s="24">
        <f t="shared" si="1"/>
        <v>8.2401456297810665</v>
      </c>
      <c r="K4" s="24" t="str">
        <f t="shared" si="2"/>
        <v>Afr</v>
      </c>
      <c r="L4" s="24" t="str">
        <f t="shared" si="3"/>
        <v>sia</v>
      </c>
      <c r="M4" s="24">
        <f t="shared" si="4"/>
        <v>5</v>
      </c>
      <c r="N4" s="24">
        <f t="shared" si="5"/>
        <v>6</v>
      </c>
      <c r="O4" s="24">
        <f t="shared" si="6"/>
        <v>8.1999999999999993</v>
      </c>
      <c r="P4" t="s">
        <v>19</v>
      </c>
      <c r="Q4" s="9">
        <f>MAX(F:F)</f>
        <v>686.63900000000001</v>
      </c>
      <c r="S4" s="2" t="s">
        <v>84</v>
      </c>
      <c r="T4" s="4">
        <f ca="1">NETWORKDAYS(TODAY()+2,TODAY()+5)</f>
        <v>2</v>
      </c>
      <c r="V4" s="11" t="s">
        <v>16</v>
      </c>
      <c r="W4" s="11">
        <v>3</v>
      </c>
      <c r="X4" s="11" t="str">
        <v>Aabc</v>
      </c>
    </row>
    <row r="5" spans="1:24" x14ac:dyDescent="0.25">
      <c r="A5" t="s">
        <v>34</v>
      </c>
      <c r="B5" t="s">
        <v>17</v>
      </c>
      <c r="C5">
        <v>2006</v>
      </c>
      <c r="D5">
        <v>32.799999999999997</v>
      </c>
      <c r="E5">
        <v>40.5</v>
      </c>
      <c r="F5">
        <v>222.19649999999999</v>
      </c>
      <c r="G5">
        <v>25.3</v>
      </c>
      <c r="H5">
        <v>67</v>
      </c>
      <c r="I5" s="24">
        <f t="shared" si="0"/>
        <v>222.2</v>
      </c>
      <c r="J5" s="24">
        <f t="shared" si="1"/>
        <v>6.3639610306789276</v>
      </c>
      <c r="K5" s="24" t="str">
        <f t="shared" si="2"/>
        <v>Afr</v>
      </c>
      <c r="L5" s="24" t="str">
        <f t="shared" si="3"/>
        <v>ica</v>
      </c>
      <c r="M5" s="24">
        <f t="shared" si="4"/>
        <v>27</v>
      </c>
      <c r="N5" s="24">
        <f t="shared" si="5"/>
        <v>6</v>
      </c>
      <c r="O5" s="24">
        <f t="shared" si="6"/>
        <v>6.4</v>
      </c>
      <c r="P5" t="s">
        <v>22</v>
      </c>
      <c r="Q5" s="9">
        <f>SUM(G:G)</f>
        <v>3848.3</v>
      </c>
      <c r="S5" s="2" t="s">
        <v>85</v>
      </c>
      <c r="T5" s="4">
        <f ca="1">WEEKDAY(TODAY()+2,2)</f>
        <v>4</v>
      </c>
      <c r="V5" s="11" t="s">
        <v>34</v>
      </c>
      <c r="W5" s="11">
        <v>4</v>
      </c>
      <c r="X5" s="11" t="str">
        <v>Aabcca</v>
      </c>
    </row>
    <row r="6" spans="1:24" x14ac:dyDescent="0.25">
      <c r="A6" t="s">
        <v>16</v>
      </c>
      <c r="B6" t="s">
        <v>14</v>
      </c>
      <c r="C6">
        <v>2012</v>
      </c>
      <c r="D6">
        <v>3.4</v>
      </c>
      <c r="E6">
        <v>4.3</v>
      </c>
      <c r="F6">
        <v>57.951000000000001</v>
      </c>
      <c r="G6">
        <v>27</v>
      </c>
      <c r="H6">
        <v>81.7</v>
      </c>
      <c r="I6" s="24">
        <f t="shared" si="0"/>
        <v>57.95</v>
      </c>
      <c r="J6" s="24">
        <f t="shared" si="1"/>
        <v>2.0736441353327719</v>
      </c>
      <c r="K6" s="24" t="str">
        <f t="shared" si="2"/>
        <v>Asi</v>
      </c>
      <c r="L6" s="24" t="str">
        <f t="shared" si="3"/>
        <v>ast</v>
      </c>
      <c r="M6" s="24">
        <f t="shared" si="4"/>
        <v>59</v>
      </c>
      <c r="N6" s="24">
        <f t="shared" si="5"/>
        <v>4</v>
      </c>
      <c r="O6" s="24">
        <f t="shared" si="6"/>
        <v>2.1</v>
      </c>
      <c r="P6" t="s">
        <v>24</v>
      </c>
      <c r="Q6" s="9">
        <f>AVERAGE(G:G)</f>
        <v>52.004054054054059</v>
      </c>
      <c r="S6" s="2" t="s">
        <v>86</v>
      </c>
      <c r="T6" s="4">
        <f ca="1">YEAR(TODAY())</f>
        <v>2026</v>
      </c>
      <c r="V6" s="11" t="s">
        <v>34</v>
      </c>
      <c r="W6" s="11">
        <v>4</v>
      </c>
      <c r="X6" s="11" t="str">
        <v>Aabcca</v>
      </c>
    </row>
    <row r="7" spans="1:24" x14ac:dyDescent="0.25">
      <c r="A7" t="s">
        <v>34</v>
      </c>
      <c r="B7" t="s">
        <v>21</v>
      </c>
      <c r="C7">
        <v>2006</v>
      </c>
      <c r="D7">
        <v>9.8000000000000007</v>
      </c>
      <c r="E7">
        <v>11.2</v>
      </c>
      <c r="F7">
        <v>95.22</v>
      </c>
      <c r="G7">
        <v>26.4</v>
      </c>
      <c r="H7">
        <v>78.2</v>
      </c>
      <c r="I7" s="24">
        <f t="shared" si="0"/>
        <v>95.22</v>
      </c>
      <c r="J7" s="24">
        <f t="shared" si="1"/>
        <v>3.3466401061363023</v>
      </c>
      <c r="K7" s="24" t="str">
        <f t="shared" si="2"/>
        <v>Afr</v>
      </c>
      <c r="L7" s="24" t="str">
        <f t="shared" si="3"/>
        <v>ean</v>
      </c>
      <c r="M7" s="24">
        <f t="shared" si="4"/>
        <v>53</v>
      </c>
      <c r="N7" s="24">
        <f t="shared" si="5"/>
        <v>6</v>
      </c>
      <c r="O7" s="24">
        <f t="shared" si="6"/>
        <v>3.3</v>
      </c>
      <c r="P7" t="s">
        <v>25</v>
      </c>
      <c r="Q7" s="9">
        <f>MEDIAN(G:G)</f>
        <v>25.8</v>
      </c>
      <c r="S7" s="2" t="s">
        <v>87</v>
      </c>
      <c r="T7" s="4">
        <f ca="1">MONTH(TODAY()+35)</f>
        <v>7</v>
      </c>
      <c r="V7" s="11" t="s">
        <v>16</v>
      </c>
      <c r="W7" s="11">
        <v>3</v>
      </c>
      <c r="X7" s="11" t="str">
        <v>Aabc</v>
      </c>
    </row>
    <row r="8" spans="1:24" x14ac:dyDescent="0.25">
      <c r="A8" t="s">
        <v>34</v>
      </c>
      <c r="B8" t="s">
        <v>23</v>
      </c>
      <c r="C8">
        <v>2015</v>
      </c>
      <c r="D8">
        <v>6.6</v>
      </c>
      <c r="E8">
        <v>8.1999999999999993</v>
      </c>
      <c r="F8">
        <v>223</v>
      </c>
      <c r="G8">
        <v>26.2</v>
      </c>
      <c r="H8">
        <v>71.2</v>
      </c>
      <c r="I8" s="24">
        <f t="shared" si="0"/>
        <v>223</v>
      </c>
      <c r="J8" s="24">
        <f t="shared" si="1"/>
        <v>2.8635642126552705</v>
      </c>
      <c r="K8" s="24" t="str">
        <f t="shared" si="2"/>
        <v>Afr</v>
      </c>
      <c r="L8" s="24" t="str">
        <f t="shared" si="3"/>
        <v>ope</v>
      </c>
      <c r="M8" s="24">
        <f t="shared" si="4"/>
        <v>47</v>
      </c>
      <c r="N8" s="24">
        <f t="shared" si="5"/>
        <v>6</v>
      </c>
      <c r="O8" s="24">
        <f t="shared" si="6"/>
        <v>2.9</v>
      </c>
      <c r="S8" s="2" t="s">
        <v>88</v>
      </c>
      <c r="T8" s="4">
        <f ca="1">DAY(TODAY()+5)</f>
        <v>7</v>
      </c>
      <c r="V8" s="11" t="s">
        <v>34</v>
      </c>
      <c r="W8" s="11">
        <v>4</v>
      </c>
      <c r="X8" s="11" t="str">
        <v>Aabcca</v>
      </c>
    </row>
    <row r="9" spans="1:24" x14ac:dyDescent="0.25">
      <c r="A9" t="s">
        <v>93</v>
      </c>
      <c r="B9" t="s">
        <v>15</v>
      </c>
      <c r="C9">
        <v>2000</v>
      </c>
      <c r="D9">
        <v>8.6999999999999993</v>
      </c>
      <c r="E9">
        <v>10.1</v>
      </c>
      <c r="F9">
        <v>192.96899999999999</v>
      </c>
      <c r="G9">
        <v>25.9</v>
      </c>
      <c r="H9">
        <v>71.2</v>
      </c>
      <c r="I9" s="24">
        <f t="shared" si="0"/>
        <v>192.97</v>
      </c>
      <c r="J9" s="24">
        <f t="shared" si="1"/>
        <v>3.1780497164141406</v>
      </c>
      <c r="K9" s="24" t="str">
        <f t="shared" si="2"/>
        <v>Eur</v>
      </c>
      <c r="L9" s="24" t="str">
        <f t="shared" si="3"/>
        <v>ion</v>
      </c>
      <c r="M9" s="24">
        <f t="shared" si="4"/>
        <v>40</v>
      </c>
      <c r="N9" s="24">
        <f t="shared" si="5"/>
        <v>9</v>
      </c>
      <c r="O9" s="24">
        <f t="shared" si="6"/>
        <v>3.2</v>
      </c>
      <c r="V9" s="11" t="s">
        <v>34</v>
      </c>
      <c r="W9" s="11">
        <v>4</v>
      </c>
      <c r="X9" s="11" t="str">
        <v>Aabcca</v>
      </c>
    </row>
    <row r="10" spans="1:24" x14ac:dyDescent="0.25">
      <c r="A10" t="s">
        <v>16</v>
      </c>
      <c r="B10" t="s">
        <v>14</v>
      </c>
      <c r="C10">
        <v>2001</v>
      </c>
      <c r="D10">
        <v>22</v>
      </c>
      <c r="E10">
        <v>26.1</v>
      </c>
      <c r="F10">
        <v>129.76400000000001</v>
      </c>
      <c r="G10">
        <v>27.9</v>
      </c>
      <c r="H10">
        <v>71.900000000000006</v>
      </c>
      <c r="I10" s="24">
        <f t="shared" si="0"/>
        <v>129.76</v>
      </c>
      <c r="J10" s="24">
        <f t="shared" si="1"/>
        <v>5.1088159097779204</v>
      </c>
      <c r="K10" s="24" t="str">
        <f t="shared" si="2"/>
        <v>Asi</v>
      </c>
      <c r="L10" s="24" t="str">
        <f t="shared" si="3"/>
        <v>ast</v>
      </c>
      <c r="M10" s="24">
        <f t="shared" si="4"/>
        <v>65</v>
      </c>
      <c r="N10" s="24">
        <f t="shared" si="5"/>
        <v>4</v>
      </c>
      <c r="O10" s="24">
        <f t="shared" si="6"/>
        <v>5.0999999999999996</v>
      </c>
      <c r="V10" s="11" t="s">
        <v>93</v>
      </c>
      <c r="W10" s="11" t="e">
        <v>#VALUE!</v>
      </c>
      <c r="X10" s="11" t="str">
        <v xml:space="preserve">Eabcpean </v>
      </c>
    </row>
    <row r="11" spans="1:24" x14ac:dyDescent="0.25">
      <c r="A11" t="s">
        <v>16</v>
      </c>
      <c r="B11" t="s">
        <v>23</v>
      </c>
      <c r="C11">
        <v>2008</v>
      </c>
      <c r="D11">
        <v>15.3</v>
      </c>
      <c r="E11">
        <v>17.8</v>
      </c>
      <c r="F11">
        <v>217.857</v>
      </c>
      <c r="G11">
        <v>26.5</v>
      </c>
      <c r="H11">
        <v>68.7</v>
      </c>
      <c r="I11" s="24">
        <f t="shared" si="0"/>
        <v>217.86</v>
      </c>
      <c r="J11" s="24">
        <f t="shared" si="1"/>
        <v>4.2190046219457971</v>
      </c>
      <c r="K11" s="24" t="str">
        <f t="shared" si="2"/>
        <v>Asi</v>
      </c>
      <c r="L11" s="24" t="str">
        <f t="shared" si="3"/>
        <v>ope</v>
      </c>
      <c r="M11" s="24">
        <f t="shared" si="4"/>
        <v>56</v>
      </c>
      <c r="N11" s="24">
        <f t="shared" si="5"/>
        <v>4</v>
      </c>
      <c r="O11" s="24">
        <f t="shared" si="6"/>
        <v>4.2</v>
      </c>
      <c r="V11" s="11" t="s">
        <v>16</v>
      </c>
      <c r="W11" s="11">
        <v>3</v>
      </c>
      <c r="X11" s="11" t="str">
        <v>Aabc</v>
      </c>
    </row>
    <row r="12" spans="1:24" x14ac:dyDescent="0.25">
      <c r="A12" t="s">
        <v>34</v>
      </c>
      <c r="B12" t="s">
        <v>17</v>
      </c>
      <c r="C12">
        <v>2012</v>
      </c>
      <c r="D12">
        <v>15.4</v>
      </c>
      <c r="E12">
        <v>17.2</v>
      </c>
      <c r="F12">
        <v>150.22450000000001</v>
      </c>
      <c r="G12">
        <v>26.1</v>
      </c>
      <c r="H12">
        <v>74.2</v>
      </c>
      <c r="I12" s="24">
        <f t="shared" si="0"/>
        <v>150.22</v>
      </c>
      <c r="J12" s="24">
        <f t="shared" si="1"/>
        <v>4.1472882706655438</v>
      </c>
      <c r="K12" s="24" t="str">
        <f t="shared" si="2"/>
        <v>Afr</v>
      </c>
      <c r="L12" s="24" t="str">
        <f t="shared" si="3"/>
        <v>ica</v>
      </c>
      <c r="M12" s="24">
        <f t="shared" si="4"/>
        <v>45</v>
      </c>
      <c r="N12" s="24">
        <f t="shared" si="5"/>
        <v>6</v>
      </c>
      <c r="O12" s="24">
        <f t="shared" si="6"/>
        <v>4.0999999999999996</v>
      </c>
      <c r="V12" s="11" t="s">
        <v>16</v>
      </c>
      <c r="W12" s="11">
        <v>3</v>
      </c>
      <c r="X12" s="11" t="str">
        <v>Aabc</v>
      </c>
    </row>
    <row r="13" spans="1:24" x14ac:dyDescent="0.25">
      <c r="A13" t="s">
        <v>27</v>
      </c>
      <c r="B13" t="s">
        <v>15</v>
      </c>
      <c r="C13">
        <v>2007</v>
      </c>
      <c r="D13">
        <v>6</v>
      </c>
      <c r="E13">
        <v>6.8</v>
      </c>
      <c r="F13">
        <v>58.018500000000003</v>
      </c>
      <c r="G13">
        <v>27.1</v>
      </c>
      <c r="H13">
        <v>79.8</v>
      </c>
      <c r="I13" s="24">
        <f t="shared" si="0"/>
        <v>58.02</v>
      </c>
      <c r="J13" s="24">
        <f t="shared" si="1"/>
        <v>2.6076809620810595</v>
      </c>
      <c r="K13" s="24" t="str">
        <f t="shared" si="2"/>
        <v>Mal</v>
      </c>
      <c r="L13" s="24" t="str">
        <f t="shared" si="3"/>
        <v>ion</v>
      </c>
      <c r="M13" s="24">
        <f t="shared" si="4"/>
        <v>61</v>
      </c>
      <c r="N13" s="24">
        <f t="shared" si="5"/>
        <v>5</v>
      </c>
      <c r="O13" s="24">
        <f t="shared" si="6"/>
        <v>2.6</v>
      </c>
      <c r="V13" s="11" t="s">
        <v>34</v>
      </c>
      <c r="W13" s="11">
        <v>4</v>
      </c>
      <c r="X13" s="11" t="str">
        <v>Aabcca</v>
      </c>
    </row>
    <row r="14" spans="1:24" ht="21" x14ac:dyDescent="0.35">
      <c r="A14" t="s">
        <v>28</v>
      </c>
      <c r="B14" t="s">
        <v>21</v>
      </c>
      <c r="C14">
        <v>2011</v>
      </c>
      <c r="D14">
        <v>13</v>
      </c>
      <c r="E14">
        <v>15.2</v>
      </c>
      <c r="F14">
        <v>165.53800000000001</v>
      </c>
      <c r="G14">
        <v>27.6</v>
      </c>
      <c r="H14">
        <v>72.3</v>
      </c>
      <c r="I14" s="24">
        <f t="shared" si="0"/>
        <v>165.54</v>
      </c>
      <c r="J14" s="24">
        <f t="shared" si="1"/>
        <v>3.8987177379235853</v>
      </c>
      <c r="K14" s="24" t="str">
        <f t="shared" si="2"/>
        <v>Bah</v>
      </c>
      <c r="L14" s="24" t="str">
        <f t="shared" si="3"/>
        <v>ean</v>
      </c>
      <c r="M14" s="24">
        <f t="shared" si="4"/>
        <v>63</v>
      </c>
      <c r="N14" s="24">
        <f t="shared" ref="N14:N45" si="7">LEN(A14)</f>
        <v>12</v>
      </c>
      <c r="O14" s="24">
        <f t="shared" si="6"/>
        <v>3.9</v>
      </c>
      <c r="Q14" s="50" t="s">
        <v>89</v>
      </c>
    </row>
    <row r="15" spans="1:24" x14ac:dyDescent="0.25">
      <c r="A15" t="s">
        <v>29</v>
      </c>
      <c r="B15" t="s">
        <v>23</v>
      </c>
      <c r="C15">
        <v>2002</v>
      </c>
      <c r="D15">
        <v>14.3</v>
      </c>
      <c r="E15">
        <v>16.600000000000001</v>
      </c>
      <c r="F15">
        <v>261.60950000000003</v>
      </c>
      <c r="G15">
        <v>25.8</v>
      </c>
      <c r="H15">
        <v>68.3</v>
      </c>
      <c r="I15" s="24">
        <f t="shared" si="0"/>
        <v>261.61</v>
      </c>
      <c r="J15" s="24">
        <f t="shared" si="1"/>
        <v>4.0743097574926725</v>
      </c>
      <c r="K15" s="24" t="str">
        <f t="shared" si="2"/>
        <v>Ukr</v>
      </c>
      <c r="L15" s="24" t="str">
        <f t="shared" si="3"/>
        <v>ope</v>
      </c>
      <c r="M15" s="24">
        <f t="shared" si="4"/>
        <v>34</v>
      </c>
      <c r="N15" s="24">
        <f t="shared" si="7"/>
        <v>7</v>
      </c>
      <c r="O15" s="24">
        <f t="shared" si="6"/>
        <v>4.0999999999999996</v>
      </c>
      <c r="R15" s="11"/>
      <c r="S15" s="27" t="s">
        <v>96</v>
      </c>
      <c r="T15" s="27" t="s">
        <v>91</v>
      </c>
      <c r="U15" s="27" t="s">
        <v>94</v>
      </c>
      <c r="V15" s="27" t="s">
        <v>95</v>
      </c>
    </row>
    <row r="16" spans="1:24" x14ac:dyDescent="0.25">
      <c r="A16" t="s">
        <v>30</v>
      </c>
      <c r="B16" t="s">
        <v>23</v>
      </c>
      <c r="C16">
        <v>2006</v>
      </c>
      <c r="D16">
        <v>4.2</v>
      </c>
      <c r="E16">
        <v>4.9000000000000004</v>
      </c>
      <c r="F16">
        <v>63.243499999999997</v>
      </c>
      <c r="G16">
        <v>25</v>
      </c>
      <c r="H16">
        <v>81.5</v>
      </c>
      <c r="I16" s="24">
        <f t="shared" si="0"/>
        <v>63.24</v>
      </c>
      <c r="J16" s="24">
        <f t="shared" si="1"/>
        <v>2.2135943621178655</v>
      </c>
      <c r="K16" s="24" t="str">
        <f t="shared" si="2"/>
        <v>Swi</v>
      </c>
      <c r="L16" s="24" t="str">
        <f t="shared" si="3"/>
        <v>ope</v>
      </c>
      <c r="M16" s="24">
        <f t="shared" si="4"/>
        <v>25</v>
      </c>
      <c r="N16" s="24">
        <f t="shared" si="7"/>
        <v>11</v>
      </c>
      <c r="O16" s="24">
        <f t="shared" si="6"/>
        <v>2.2000000000000002</v>
      </c>
      <c r="R16" s="11" t="s">
        <v>34</v>
      </c>
      <c r="S16" s="11" t="str" cm="1">
        <f t="array" ref="S16:S26">SUBSTITUTE(R16:R26,"Africa","abc")</f>
        <v>abc</v>
      </c>
      <c r="T16" s="11" t="str" cm="1">
        <f t="array" ref="T16:T26">MID(R16:R26,2,3)</f>
        <v>fri</v>
      </c>
      <c r="U16" s="11" cm="1">
        <f t="array" ref="U16:U26">SEARCH("a",R16:R26)</f>
        <v>1</v>
      </c>
      <c r="V16" s="11" t="str" cm="1">
        <f t="array" ref="V16:V26">CONCATENATE(R16:R26,_xlfn.ANCHORARRAY(T16))</f>
        <v>Africafri</v>
      </c>
    </row>
    <row r="17" spans="1:26" x14ac:dyDescent="0.25">
      <c r="A17" t="s">
        <v>31</v>
      </c>
      <c r="B17" t="s">
        <v>23</v>
      </c>
      <c r="C17">
        <v>2001</v>
      </c>
      <c r="D17">
        <v>3.8</v>
      </c>
      <c r="E17">
        <v>4.7</v>
      </c>
      <c r="F17">
        <v>80.495500000000007</v>
      </c>
      <c r="G17">
        <v>25.7</v>
      </c>
      <c r="H17">
        <v>78.8</v>
      </c>
      <c r="I17" s="24">
        <f t="shared" si="0"/>
        <v>80.5</v>
      </c>
      <c r="J17" s="24">
        <f t="shared" si="1"/>
        <v>2.16794833886788</v>
      </c>
      <c r="K17" s="24" t="str">
        <f t="shared" si="2"/>
        <v>Nor</v>
      </c>
      <c r="L17" s="24" t="str">
        <f t="shared" si="3"/>
        <v>ope</v>
      </c>
      <c r="M17" s="24">
        <f t="shared" si="4"/>
        <v>33</v>
      </c>
      <c r="N17" s="24">
        <f t="shared" si="7"/>
        <v>6</v>
      </c>
      <c r="O17" s="24">
        <f t="shared" si="6"/>
        <v>2.2000000000000002</v>
      </c>
      <c r="R17" s="11" t="s">
        <v>16</v>
      </c>
      <c r="S17" s="11" t="str">
        <v>Asia</v>
      </c>
      <c r="T17" s="11" t="str">
        <v>sia</v>
      </c>
      <c r="U17" s="11">
        <v>1</v>
      </c>
      <c r="V17" s="11" t="str">
        <v>Asiasia</v>
      </c>
    </row>
    <row r="18" spans="1:26" x14ac:dyDescent="0.25">
      <c r="A18" t="s">
        <v>32</v>
      </c>
      <c r="B18" t="s">
        <v>15</v>
      </c>
      <c r="C18">
        <v>2013</v>
      </c>
      <c r="D18">
        <v>2.2000000000000002</v>
      </c>
      <c r="E18">
        <v>2.7</v>
      </c>
      <c r="F18">
        <v>76.566999999999993</v>
      </c>
      <c r="G18">
        <v>26</v>
      </c>
      <c r="H18">
        <v>81</v>
      </c>
      <c r="I18" s="24">
        <f t="shared" si="0"/>
        <v>76.569999999999993</v>
      </c>
      <c r="J18" s="24">
        <f t="shared" si="1"/>
        <v>1.6431676725154984</v>
      </c>
      <c r="K18" s="24" t="str">
        <f t="shared" si="2"/>
        <v>Fin</v>
      </c>
      <c r="L18" s="24" t="str">
        <f t="shared" si="3"/>
        <v>ion</v>
      </c>
      <c r="M18" s="24">
        <f t="shared" si="4"/>
        <v>41</v>
      </c>
      <c r="N18" s="24">
        <f t="shared" si="7"/>
        <v>7</v>
      </c>
      <c r="O18" s="24">
        <f t="shared" si="6"/>
        <v>1.6</v>
      </c>
      <c r="R18" s="11" t="s">
        <v>34</v>
      </c>
      <c r="S18" s="11" t="str">
        <v>abc</v>
      </c>
      <c r="T18" s="11" t="str">
        <v>fri</v>
      </c>
      <c r="U18" s="11">
        <v>1</v>
      </c>
      <c r="V18" s="11" t="str">
        <v>Africafri</v>
      </c>
    </row>
    <row r="19" spans="1:26" x14ac:dyDescent="0.25">
      <c r="A19" t="s">
        <v>33</v>
      </c>
      <c r="B19" t="s">
        <v>34</v>
      </c>
      <c r="C19">
        <v>2007</v>
      </c>
      <c r="D19">
        <v>66.8</v>
      </c>
      <c r="E19">
        <v>91.9</v>
      </c>
      <c r="F19">
        <v>255.88149999999999</v>
      </c>
      <c r="G19">
        <v>23.5</v>
      </c>
      <c r="H19">
        <v>60.7</v>
      </c>
      <c r="I19" s="24">
        <f t="shared" si="0"/>
        <v>255.88</v>
      </c>
      <c r="J19" s="24">
        <f t="shared" si="1"/>
        <v>9.5864487689654929</v>
      </c>
      <c r="K19" s="24" t="str">
        <f t="shared" si="2"/>
        <v>Com</v>
      </c>
      <c r="L19" s="24" t="str">
        <f t="shared" si="3"/>
        <v>ica</v>
      </c>
      <c r="M19" s="24">
        <f t="shared" si="4"/>
        <v>18</v>
      </c>
      <c r="N19" s="24">
        <f t="shared" si="7"/>
        <v>7</v>
      </c>
      <c r="O19" s="24">
        <f t="shared" si="6"/>
        <v>9.6</v>
      </c>
      <c r="R19" s="11" t="s">
        <v>34</v>
      </c>
      <c r="S19" s="11" t="str">
        <v>abc</v>
      </c>
      <c r="T19" s="11" t="str">
        <v>fri</v>
      </c>
      <c r="U19" s="11">
        <v>1</v>
      </c>
      <c r="V19" s="11" t="str">
        <v>Africafri</v>
      </c>
    </row>
    <row r="20" spans="1:26" x14ac:dyDescent="0.25">
      <c r="A20" t="s">
        <v>35</v>
      </c>
      <c r="B20" t="s">
        <v>16</v>
      </c>
      <c r="C20">
        <v>2005</v>
      </c>
      <c r="D20">
        <v>2.8</v>
      </c>
      <c r="E20">
        <v>3.7</v>
      </c>
      <c r="F20">
        <v>68.768000000000001</v>
      </c>
      <c r="G20">
        <v>22.6</v>
      </c>
      <c r="H20">
        <v>81.900000000000006</v>
      </c>
      <c r="I20" s="24">
        <f t="shared" si="0"/>
        <v>68.77</v>
      </c>
      <c r="J20" s="24">
        <f t="shared" si="1"/>
        <v>1.9235384061671346</v>
      </c>
      <c r="K20" s="24" t="str">
        <f t="shared" si="2"/>
        <v>Jap</v>
      </c>
      <c r="L20" s="24" t="str">
        <f t="shared" si="3"/>
        <v>sia</v>
      </c>
      <c r="M20" s="24">
        <f t="shared" si="4"/>
        <v>11</v>
      </c>
      <c r="N20" s="24">
        <f t="shared" si="7"/>
        <v>5</v>
      </c>
      <c r="O20" s="24">
        <f t="shared" si="6"/>
        <v>1.9</v>
      </c>
      <c r="R20" s="11" t="s">
        <v>16</v>
      </c>
      <c r="S20" s="11" t="str">
        <v>Asia</v>
      </c>
      <c r="T20" s="11" t="str">
        <v>sia</v>
      </c>
      <c r="U20" s="11">
        <v>1</v>
      </c>
      <c r="V20" s="11" t="str">
        <v>Asiasia</v>
      </c>
    </row>
    <row r="21" spans="1:26" x14ac:dyDescent="0.25">
      <c r="A21" t="s">
        <v>36</v>
      </c>
      <c r="B21" t="s">
        <v>34</v>
      </c>
      <c r="C21">
        <v>2012</v>
      </c>
      <c r="D21">
        <v>39.1</v>
      </c>
      <c r="E21">
        <v>57.1</v>
      </c>
      <c r="F21">
        <v>256.88</v>
      </c>
      <c r="G21">
        <v>24.9</v>
      </c>
      <c r="H21">
        <v>62.9</v>
      </c>
      <c r="I21" s="24">
        <f t="shared" si="0"/>
        <v>256.88</v>
      </c>
      <c r="J21" s="24">
        <f t="shared" si="1"/>
        <v>7.556454194925025</v>
      </c>
      <c r="K21" s="24" t="str">
        <f t="shared" si="2"/>
        <v>Gab</v>
      </c>
      <c r="L21" s="24" t="str">
        <f t="shared" si="3"/>
        <v>ica</v>
      </c>
      <c r="M21" s="24">
        <f t="shared" si="4"/>
        <v>24</v>
      </c>
      <c r="N21" s="24">
        <f t="shared" si="7"/>
        <v>5</v>
      </c>
      <c r="O21" s="24">
        <f t="shared" si="6"/>
        <v>7.6</v>
      </c>
      <c r="R21" s="11" t="s">
        <v>34</v>
      </c>
      <c r="S21" s="11" t="str">
        <v>abc</v>
      </c>
      <c r="T21" s="11" t="str">
        <v>fri</v>
      </c>
      <c r="U21" s="11">
        <v>1</v>
      </c>
      <c r="V21" s="11" t="str">
        <v>Africafri</v>
      </c>
    </row>
    <row r="22" spans="1:26" x14ac:dyDescent="0.25">
      <c r="A22" t="s">
        <v>37</v>
      </c>
      <c r="B22" t="s">
        <v>34</v>
      </c>
      <c r="C22">
        <v>2011</v>
      </c>
      <c r="D22">
        <v>45.2</v>
      </c>
      <c r="E22">
        <v>65.900000000000006</v>
      </c>
      <c r="F22">
        <v>257.0865</v>
      </c>
      <c r="G22">
        <v>23.7</v>
      </c>
      <c r="H22">
        <v>61.4</v>
      </c>
      <c r="I22" s="24">
        <f t="shared" si="0"/>
        <v>257.08999999999997</v>
      </c>
      <c r="J22" s="24">
        <f t="shared" si="1"/>
        <v>8.1178814970409618</v>
      </c>
      <c r="K22" s="24" t="str">
        <f t="shared" si="2"/>
        <v>Gha</v>
      </c>
      <c r="L22" s="24" t="str">
        <f t="shared" si="3"/>
        <v>ica</v>
      </c>
      <c r="M22" s="24">
        <f t="shared" si="4"/>
        <v>21</v>
      </c>
      <c r="N22" s="24">
        <f t="shared" si="7"/>
        <v>5</v>
      </c>
      <c r="O22" s="24">
        <f t="shared" si="6"/>
        <v>8.1</v>
      </c>
      <c r="R22" s="11" t="s">
        <v>34</v>
      </c>
      <c r="S22" s="11" t="str">
        <v>abc</v>
      </c>
      <c r="T22" s="11" t="str">
        <v>fri</v>
      </c>
      <c r="U22" s="11">
        <v>1</v>
      </c>
      <c r="V22" s="11" t="str">
        <v>Africafri</v>
      </c>
    </row>
    <row r="23" spans="1:26" x14ac:dyDescent="0.25">
      <c r="A23" t="s">
        <v>38</v>
      </c>
      <c r="B23" t="s">
        <v>16</v>
      </c>
      <c r="C23">
        <v>2001</v>
      </c>
      <c r="D23">
        <v>28.2</v>
      </c>
      <c r="E23">
        <v>36.9</v>
      </c>
      <c r="F23">
        <v>214.26849999999999</v>
      </c>
      <c r="G23">
        <v>22.3</v>
      </c>
      <c r="H23">
        <v>68.8</v>
      </c>
      <c r="I23" s="24">
        <f t="shared" si="0"/>
        <v>214.27</v>
      </c>
      <c r="J23" s="24">
        <f t="shared" si="1"/>
        <v>6.0745370193949757</v>
      </c>
      <c r="K23" s="24" t="str">
        <f t="shared" si="2"/>
        <v>Phi</v>
      </c>
      <c r="L23" s="24" t="str">
        <f t="shared" si="3"/>
        <v>sia</v>
      </c>
      <c r="M23" s="24">
        <f t="shared" si="4"/>
        <v>8</v>
      </c>
      <c r="N23" s="24">
        <f t="shared" si="7"/>
        <v>11</v>
      </c>
      <c r="O23" s="24">
        <f t="shared" si="6"/>
        <v>6.1</v>
      </c>
      <c r="R23" s="11" t="s">
        <v>93</v>
      </c>
      <c r="S23" s="11" t="str">
        <v xml:space="preserve">European </v>
      </c>
      <c r="T23" s="11" t="str">
        <v>uro</v>
      </c>
      <c r="U23" s="11">
        <v>7</v>
      </c>
      <c r="V23" s="11" t="str">
        <v>European uro</v>
      </c>
    </row>
    <row r="24" spans="1:26" x14ac:dyDescent="0.25">
      <c r="A24" t="s">
        <v>39</v>
      </c>
      <c r="B24" t="s">
        <v>34</v>
      </c>
      <c r="C24">
        <v>2003</v>
      </c>
      <c r="D24">
        <v>64.599999999999994</v>
      </c>
      <c r="E24">
        <v>100.2</v>
      </c>
      <c r="F24">
        <v>406.702</v>
      </c>
      <c r="G24">
        <v>22.3</v>
      </c>
      <c r="H24">
        <v>53.8</v>
      </c>
      <c r="I24" s="24">
        <f t="shared" si="0"/>
        <v>406.7</v>
      </c>
      <c r="J24" s="24">
        <f t="shared" si="1"/>
        <v>10.009995004993758</v>
      </c>
      <c r="K24" s="24" t="str">
        <f t="shared" si="2"/>
        <v>Con</v>
      </c>
      <c r="L24" s="24" t="str">
        <f t="shared" si="3"/>
        <v>ica</v>
      </c>
      <c r="M24" s="24">
        <f t="shared" si="4"/>
        <v>8</v>
      </c>
      <c r="N24" s="24">
        <f t="shared" si="7"/>
        <v>11</v>
      </c>
      <c r="O24" s="24">
        <f t="shared" si="6"/>
        <v>10</v>
      </c>
      <c r="R24" s="11" t="s">
        <v>16</v>
      </c>
      <c r="S24" s="11" t="str">
        <v>Asia</v>
      </c>
      <c r="T24" s="11" t="str">
        <v>sia</v>
      </c>
      <c r="U24" s="11">
        <v>1</v>
      </c>
      <c r="V24" s="11" t="str">
        <v>Asiasia</v>
      </c>
    </row>
    <row r="25" spans="1:26" x14ac:dyDescent="0.25">
      <c r="A25" t="s">
        <v>40</v>
      </c>
      <c r="B25" t="s">
        <v>34</v>
      </c>
      <c r="C25">
        <v>2011</v>
      </c>
      <c r="D25">
        <v>45.8</v>
      </c>
      <c r="E25">
        <v>67</v>
      </c>
      <c r="F25">
        <v>237.6755</v>
      </c>
      <c r="G25">
        <v>21.1</v>
      </c>
      <c r="H25">
        <v>63.8</v>
      </c>
      <c r="I25" s="24">
        <f t="shared" si="0"/>
        <v>237.68</v>
      </c>
      <c r="J25" s="24">
        <f t="shared" si="1"/>
        <v>8.1853527718724504</v>
      </c>
      <c r="K25" s="24" t="str">
        <f t="shared" si="2"/>
        <v>Mad</v>
      </c>
      <c r="L25" s="24" t="str">
        <f t="shared" si="3"/>
        <v>ica</v>
      </c>
      <c r="M25" s="24">
        <f t="shared" si="4"/>
        <v>3</v>
      </c>
      <c r="N25" s="24">
        <f t="shared" si="7"/>
        <v>10</v>
      </c>
      <c r="O25" s="24">
        <f t="shared" si="6"/>
        <v>8.1999999999999993</v>
      </c>
      <c r="R25" s="11" t="s">
        <v>16</v>
      </c>
      <c r="S25" s="11" t="str">
        <v>Asia</v>
      </c>
      <c r="T25" s="11" t="str">
        <v>sia</v>
      </c>
      <c r="U25" s="11">
        <v>1</v>
      </c>
      <c r="V25" s="11" t="str">
        <v>Asiasia</v>
      </c>
    </row>
    <row r="26" spans="1:26" x14ac:dyDescent="0.25">
      <c r="A26" t="s">
        <v>41</v>
      </c>
      <c r="B26" t="s">
        <v>15</v>
      </c>
      <c r="C26">
        <v>2004</v>
      </c>
      <c r="D26">
        <v>6.2</v>
      </c>
      <c r="E26">
        <v>7.8</v>
      </c>
      <c r="F26">
        <v>194.0975</v>
      </c>
      <c r="G26">
        <v>25.8</v>
      </c>
      <c r="H26">
        <v>71.900000000000006</v>
      </c>
      <c r="I26" s="24">
        <f t="shared" si="0"/>
        <v>194.1</v>
      </c>
      <c r="J26" s="24">
        <f t="shared" si="1"/>
        <v>2.7928480087537881</v>
      </c>
      <c r="K26" s="24" t="str">
        <f t="shared" si="2"/>
        <v>Est</v>
      </c>
      <c r="L26" s="24" t="str">
        <f t="shared" si="3"/>
        <v>ion</v>
      </c>
      <c r="M26" s="24">
        <f t="shared" si="4"/>
        <v>34</v>
      </c>
      <c r="N26" s="24">
        <f t="shared" si="7"/>
        <v>7</v>
      </c>
      <c r="O26" s="24">
        <f t="shared" si="6"/>
        <v>2.8</v>
      </c>
      <c r="R26" s="11" t="s">
        <v>34</v>
      </c>
      <c r="S26" s="11" t="str">
        <v>abc</v>
      </c>
      <c r="T26" s="11" t="str">
        <v>fri</v>
      </c>
      <c r="U26" s="11">
        <v>1</v>
      </c>
      <c r="V26" s="11" t="str">
        <v>Africafri</v>
      </c>
    </row>
    <row r="27" spans="1:26" x14ac:dyDescent="0.25">
      <c r="A27" t="s">
        <v>42</v>
      </c>
      <c r="B27" t="s">
        <v>21</v>
      </c>
      <c r="C27">
        <v>2013</v>
      </c>
      <c r="D27">
        <v>14.6</v>
      </c>
      <c r="E27">
        <v>16.899999999999999</v>
      </c>
      <c r="F27">
        <v>179.14400000000001</v>
      </c>
      <c r="G27">
        <v>28.7</v>
      </c>
      <c r="H27">
        <v>73.5</v>
      </c>
      <c r="I27" s="24">
        <f t="shared" si="0"/>
        <v>179.14</v>
      </c>
      <c r="J27" s="24">
        <f t="shared" si="1"/>
        <v>4.1109609582188931</v>
      </c>
      <c r="K27" s="24" t="str">
        <f t="shared" si="2"/>
        <v>Bel</v>
      </c>
      <c r="L27" s="24" t="str">
        <f t="shared" si="3"/>
        <v>ean</v>
      </c>
      <c r="M27" s="24">
        <f t="shared" si="4"/>
        <v>69</v>
      </c>
      <c r="N27" s="24">
        <f t="shared" si="7"/>
        <v>6</v>
      </c>
      <c r="O27" s="24">
        <f t="shared" si="6"/>
        <v>4.0999999999999996</v>
      </c>
    </row>
    <row r="28" spans="1:26" ht="21" x14ac:dyDescent="0.35">
      <c r="A28" t="s">
        <v>43</v>
      </c>
      <c r="B28" t="s">
        <v>16</v>
      </c>
      <c r="C28">
        <v>2006</v>
      </c>
      <c r="D28">
        <v>25.6</v>
      </c>
      <c r="E28">
        <v>29</v>
      </c>
      <c r="F28">
        <v>270.98849999999999</v>
      </c>
      <c r="G28">
        <v>25.8</v>
      </c>
      <c r="H28">
        <v>66.2</v>
      </c>
      <c r="I28" s="24">
        <f t="shared" si="0"/>
        <v>270.99</v>
      </c>
      <c r="J28" s="24">
        <f t="shared" si="1"/>
        <v>5.3851648071345037</v>
      </c>
      <c r="K28" s="24" t="str">
        <f t="shared" si="2"/>
        <v>Kaz</v>
      </c>
      <c r="L28" s="24" t="str">
        <f t="shared" si="3"/>
        <v>sia</v>
      </c>
      <c r="M28" s="24">
        <f t="shared" si="4"/>
        <v>34</v>
      </c>
      <c r="N28" s="24">
        <f t="shared" si="7"/>
        <v>10</v>
      </c>
      <c r="O28" s="24">
        <f t="shared" si="6"/>
        <v>5.4</v>
      </c>
      <c r="Q28" s="50" t="s">
        <v>131</v>
      </c>
      <c r="Z28" s="2"/>
    </row>
    <row r="29" spans="1:26" x14ac:dyDescent="0.25">
      <c r="A29" t="s">
        <v>44</v>
      </c>
      <c r="B29" t="s">
        <v>34</v>
      </c>
      <c r="C29">
        <v>2015</v>
      </c>
      <c r="D29">
        <v>57</v>
      </c>
      <c r="E29">
        <v>88</v>
      </c>
      <c r="F29">
        <v>340.12650000000002</v>
      </c>
      <c r="G29">
        <v>24.3</v>
      </c>
      <c r="H29">
        <v>57.6</v>
      </c>
      <c r="I29" s="24">
        <f t="shared" si="0"/>
        <v>340.13</v>
      </c>
      <c r="J29" s="24">
        <f t="shared" si="1"/>
        <v>9.3808315196468595</v>
      </c>
      <c r="K29" s="24" t="str">
        <f t="shared" si="2"/>
        <v>Cam</v>
      </c>
      <c r="L29" s="24" t="str">
        <f t="shared" si="3"/>
        <v>ica</v>
      </c>
      <c r="M29" s="24">
        <f t="shared" si="4"/>
        <v>23</v>
      </c>
      <c r="N29" s="24">
        <f t="shared" si="7"/>
        <v>8</v>
      </c>
      <c r="O29" s="24">
        <f t="shared" si="6"/>
        <v>9.4</v>
      </c>
      <c r="Q29" s="11"/>
      <c r="R29" s="28" t="s">
        <v>97</v>
      </c>
      <c r="S29" s="28" t="s">
        <v>99</v>
      </c>
      <c r="T29" s="28" t="s">
        <v>98</v>
      </c>
      <c r="U29" s="28" t="s">
        <v>100</v>
      </c>
      <c r="V29" s="28" t="s">
        <v>101</v>
      </c>
      <c r="W29" s="28" t="s">
        <v>129</v>
      </c>
    </row>
    <row r="30" spans="1:26" x14ac:dyDescent="0.25">
      <c r="A30" t="s">
        <v>26</v>
      </c>
      <c r="B30" t="s">
        <v>14</v>
      </c>
      <c r="C30">
        <v>2006</v>
      </c>
      <c r="D30">
        <v>19.2</v>
      </c>
      <c r="E30">
        <v>22.5</v>
      </c>
      <c r="F30">
        <v>121.011</v>
      </c>
      <c r="G30">
        <v>28.3</v>
      </c>
      <c r="H30">
        <v>72.8</v>
      </c>
      <c r="I30" s="24">
        <f t="shared" si="0"/>
        <v>121.01</v>
      </c>
      <c r="J30" s="24">
        <f t="shared" si="1"/>
        <v>4.7434164902525691</v>
      </c>
      <c r="K30" s="24" t="str">
        <f t="shared" si="2"/>
        <v>Jor</v>
      </c>
      <c r="L30" s="24" t="str">
        <f t="shared" si="3"/>
        <v>ast</v>
      </c>
      <c r="M30" s="24">
        <f t="shared" si="4"/>
        <v>66</v>
      </c>
      <c r="N30" s="24">
        <f t="shared" si="7"/>
        <v>6</v>
      </c>
      <c r="O30" s="24">
        <f t="shared" si="6"/>
        <v>4.7</v>
      </c>
      <c r="Q30" s="11">
        <v>105.824</v>
      </c>
      <c r="R30" s="11">
        <f>PRODUCT(Q30,Q31)</f>
        <v>6127.4741600000007</v>
      </c>
      <c r="S30" s="11">
        <f>MOD(Q30,D13)</f>
        <v>3.8239999999999981</v>
      </c>
      <c r="T30" s="11">
        <f>FACT(S30)</f>
        <v>6</v>
      </c>
      <c r="U30" s="11">
        <f>ROUNDUP(S30,1)</f>
        <v>3.9</v>
      </c>
      <c r="V30" s="11">
        <f>ROUNDDOWN(S30,1)</f>
        <v>3.8</v>
      </c>
      <c r="W30" s="11">
        <f>ROUND(PRODUCT(Q30,Q31),1)</f>
        <v>6127.5</v>
      </c>
    </row>
    <row r="31" spans="1:26" x14ac:dyDescent="0.25">
      <c r="A31" t="s">
        <v>45</v>
      </c>
      <c r="B31" t="s">
        <v>34</v>
      </c>
      <c r="C31">
        <v>2009</v>
      </c>
      <c r="D31">
        <v>54</v>
      </c>
      <c r="E31">
        <v>91.3</v>
      </c>
      <c r="F31">
        <v>551.91150000000005</v>
      </c>
      <c r="G31">
        <v>23.6</v>
      </c>
      <c r="H31">
        <v>48.4</v>
      </c>
      <c r="I31" s="24">
        <f t="shared" si="0"/>
        <v>551.91</v>
      </c>
      <c r="J31" s="24">
        <f t="shared" si="1"/>
        <v>9.5551033484730024</v>
      </c>
      <c r="K31" s="24" t="str">
        <f t="shared" si="2"/>
        <v>Zim</v>
      </c>
      <c r="L31" s="24" t="str">
        <f t="shared" si="3"/>
        <v>ica</v>
      </c>
      <c r="M31" s="24">
        <f t="shared" si="4"/>
        <v>19</v>
      </c>
      <c r="N31" s="24">
        <f t="shared" si="7"/>
        <v>8</v>
      </c>
      <c r="O31" s="24">
        <f t="shared" si="6"/>
        <v>9.6</v>
      </c>
      <c r="Q31" s="11">
        <v>57.902500000000003</v>
      </c>
      <c r="R31" s="11">
        <f>PRODUCT(ROUND(Q31,1),ROUND(Q32,1))</f>
        <v>11643.689999999999</v>
      </c>
      <c r="S31" s="11"/>
      <c r="T31" s="11"/>
      <c r="U31" s="11"/>
      <c r="V31" s="11"/>
      <c r="W31" s="11"/>
    </row>
    <row r="32" spans="1:26" x14ac:dyDescent="0.25">
      <c r="A32" t="s">
        <v>46</v>
      </c>
      <c r="B32" t="s">
        <v>16</v>
      </c>
      <c r="C32">
        <v>2005</v>
      </c>
      <c r="D32">
        <v>44.7</v>
      </c>
      <c r="E32">
        <v>57.5</v>
      </c>
      <c r="F32">
        <v>253.2655</v>
      </c>
      <c r="G32">
        <v>22.8</v>
      </c>
      <c r="H32">
        <v>65.3</v>
      </c>
      <c r="I32" s="24">
        <f t="shared" si="0"/>
        <v>253.27</v>
      </c>
      <c r="J32" s="24">
        <f t="shared" si="1"/>
        <v>7.5828754440515507</v>
      </c>
      <c r="K32" s="24" t="str">
        <f t="shared" si="2"/>
        <v>Bhu</v>
      </c>
      <c r="L32" s="24" t="str">
        <f t="shared" si="3"/>
        <v>sia</v>
      </c>
      <c r="M32" s="24">
        <f t="shared" si="4"/>
        <v>13</v>
      </c>
      <c r="N32" s="24">
        <f t="shared" si="7"/>
        <v>6</v>
      </c>
      <c r="O32" s="24">
        <f t="shared" si="6"/>
        <v>7.6</v>
      </c>
      <c r="Q32" s="11">
        <v>201.07650000000001</v>
      </c>
      <c r="R32" s="11"/>
      <c r="S32" s="11"/>
      <c r="T32" s="11"/>
      <c r="U32" s="11"/>
      <c r="V32" s="11"/>
      <c r="W32" s="11"/>
    </row>
    <row r="33" spans="1:26" x14ac:dyDescent="0.25">
      <c r="A33" t="s">
        <v>30</v>
      </c>
      <c r="B33" t="s">
        <v>23</v>
      </c>
      <c r="C33">
        <v>2010</v>
      </c>
      <c r="D33">
        <v>3.9</v>
      </c>
      <c r="E33">
        <v>4.5999999999999996</v>
      </c>
      <c r="F33">
        <v>56.910499999999999</v>
      </c>
      <c r="G33">
        <v>25.1</v>
      </c>
      <c r="H33">
        <v>82.2</v>
      </c>
      <c r="I33" s="24">
        <f t="shared" si="0"/>
        <v>56.91</v>
      </c>
      <c r="J33" s="24">
        <f t="shared" si="1"/>
        <v>2.1447610589527217</v>
      </c>
      <c r="K33" s="24" t="str">
        <f t="shared" si="2"/>
        <v>Swi</v>
      </c>
      <c r="L33" s="24" t="str">
        <f t="shared" si="3"/>
        <v>ope</v>
      </c>
      <c r="M33" s="24">
        <f t="shared" si="4"/>
        <v>26</v>
      </c>
      <c r="N33" s="24">
        <f t="shared" si="7"/>
        <v>11</v>
      </c>
      <c r="O33" s="24">
        <f t="shared" si="6"/>
        <v>2.1</v>
      </c>
    </row>
    <row r="34" spans="1:26" x14ac:dyDescent="0.25">
      <c r="A34" t="s">
        <v>47</v>
      </c>
      <c r="B34" t="s">
        <v>34</v>
      </c>
      <c r="C34">
        <v>2006</v>
      </c>
      <c r="D34">
        <v>48.7</v>
      </c>
      <c r="E34">
        <v>79.2</v>
      </c>
      <c r="F34">
        <v>515.71799999999996</v>
      </c>
      <c r="G34">
        <v>26.6</v>
      </c>
      <c r="H34">
        <v>53.8</v>
      </c>
      <c r="I34" s="24">
        <f t="shared" ref="I34:I65" si="8">ROUND(F34,2)</f>
        <v>515.72</v>
      </c>
      <c r="J34" s="24">
        <f t="shared" ref="J34:J65" si="9">SQRT(E34)</f>
        <v>8.8994381845147963</v>
      </c>
      <c r="K34" s="24" t="str">
        <f t="shared" ref="K34:K65" si="10">LEFT(A34,3)</f>
        <v>Sou</v>
      </c>
      <c r="L34" s="24" t="str">
        <f t="shared" ref="L34:L65" si="11">RIGHT(B34,3)</f>
        <v>ica</v>
      </c>
      <c r="M34" s="24">
        <f t="shared" ref="M34:M65" si="12">RANK(G34,G:G,1)</f>
        <v>57</v>
      </c>
      <c r="N34" s="24">
        <f t="shared" si="7"/>
        <v>12</v>
      </c>
      <c r="O34" s="24">
        <f t="shared" si="6"/>
        <v>8.9</v>
      </c>
    </row>
    <row r="35" spans="1:26" ht="15.75" x14ac:dyDescent="0.25">
      <c r="A35" t="s">
        <v>26</v>
      </c>
      <c r="B35" t="s">
        <v>14</v>
      </c>
      <c r="C35">
        <v>2012</v>
      </c>
      <c r="D35">
        <v>16.2</v>
      </c>
      <c r="E35">
        <v>19</v>
      </c>
      <c r="F35">
        <v>113.2855</v>
      </c>
      <c r="G35">
        <v>28.7</v>
      </c>
      <c r="H35">
        <v>73.7</v>
      </c>
      <c r="I35" s="24">
        <f t="shared" si="8"/>
        <v>113.29</v>
      </c>
      <c r="J35" s="24">
        <f t="shared" si="9"/>
        <v>4.358898943540674</v>
      </c>
      <c r="K35" s="24" t="str">
        <f t="shared" si="10"/>
        <v>Jor</v>
      </c>
      <c r="L35" s="24" t="str">
        <f t="shared" si="11"/>
        <v>ast</v>
      </c>
      <c r="M35" s="24">
        <f t="shared" si="12"/>
        <v>69</v>
      </c>
      <c r="N35" s="24">
        <f t="shared" si="7"/>
        <v>6</v>
      </c>
      <c r="O35" s="24">
        <f t="shared" ref="O35:O66" si="13">ROUND(SQRT(E35),1)</f>
        <v>4.4000000000000004</v>
      </c>
      <c r="R35" s="29" t="s">
        <v>103</v>
      </c>
      <c r="S35" s="30" t="s">
        <v>104</v>
      </c>
      <c r="T35" s="30" t="s">
        <v>105</v>
      </c>
      <c r="U35" s="30" t="s">
        <v>1</v>
      </c>
      <c r="V35" s="31" t="s">
        <v>106</v>
      </c>
      <c r="X35" s="11"/>
      <c r="Y35" s="41" t="s">
        <v>130</v>
      </c>
      <c r="Z35" s="11"/>
    </row>
    <row r="36" spans="1:26" x14ac:dyDescent="0.25">
      <c r="A36" t="s">
        <v>48</v>
      </c>
      <c r="B36" t="s">
        <v>34</v>
      </c>
      <c r="C36">
        <v>2012</v>
      </c>
      <c r="D36">
        <v>36.799999999999997</v>
      </c>
      <c r="E36">
        <v>51.2</v>
      </c>
      <c r="F36">
        <v>274.029</v>
      </c>
      <c r="G36">
        <v>20.6</v>
      </c>
      <c r="H36">
        <v>63.2</v>
      </c>
      <c r="I36" s="24">
        <f t="shared" si="8"/>
        <v>274.02999999999997</v>
      </c>
      <c r="J36" s="24">
        <f t="shared" si="9"/>
        <v>7.1554175279993268</v>
      </c>
      <c r="K36" s="24" t="str">
        <f t="shared" si="10"/>
        <v>Eri</v>
      </c>
      <c r="L36" s="24" t="str">
        <f t="shared" si="11"/>
        <v>ica</v>
      </c>
      <c r="M36" s="24">
        <f t="shared" si="12"/>
        <v>2</v>
      </c>
      <c r="N36" s="24">
        <f t="shared" si="7"/>
        <v>7</v>
      </c>
      <c r="O36" s="24">
        <f t="shared" si="13"/>
        <v>7.2</v>
      </c>
      <c r="R36" s="32">
        <v>46023</v>
      </c>
      <c r="S36" s="33" t="s">
        <v>107</v>
      </c>
      <c r="T36" s="33" t="s">
        <v>108</v>
      </c>
      <c r="U36" s="33" t="s">
        <v>109</v>
      </c>
      <c r="V36" s="34">
        <v>45000</v>
      </c>
      <c r="X36" s="42" t="s">
        <v>102</v>
      </c>
      <c r="Y36" s="11" t="s">
        <v>119</v>
      </c>
      <c r="Z36" s="11">
        <f>SUMIF(T36:T45,"Red",V36:V45)</f>
        <v>43000</v>
      </c>
    </row>
    <row r="37" spans="1:26" x14ac:dyDescent="0.25">
      <c r="A37" t="s">
        <v>49</v>
      </c>
      <c r="B37" t="s">
        <v>15</v>
      </c>
      <c r="C37">
        <v>2010</v>
      </c>
      <c r="D37">
        <v>3.5</v>
      </c>
      <c r="E37">
        <v>4.2</v>
      </c>
      <c r="F37">
        <v>77.603999999999999</v>
      </c>
      <c r="G37">
        <v>26.3</v>
      </c>
      <c r="H37">
        <v>80</v>
      </c>
      <c r="I37" s="24">
        <f t="shared" si="8"/>
        <v>77.599999999999994</v>
      </c>
      <c r="J37" s="24">
        <f t="shared" si="9"/>
        <v>2.0493901531919199</v>
      </c>
      <c r="K37" s="24" t="str">
        <f t="shared" si="10"/>
        <v>Ger</v>
      </c>
      <c r="L37" s="24" t="str">
        <f t="shared" si="11"/>
        <v>ion</v>
      </c>
      <c r="M37" s="24">
        <f t="shared" si="12"/>
        <v>50</v>
      </c>
      <c r="N37" s="24">
        <f t="shared" si="7"/>
        <v>7</v>
      </c>
      <c r="O37" s="24">
        <f t="shared" si="13"/>
        <v>2</v>
      </c>
      <c r="R37" s="32">
        <v>46024</v>
      </c>
      <c r="S37" s="33" t="s">
        <v>110</v>
      </c>
      <c r="T37" s="33" t="s">
        <v>111</v>
      </c>
      <c r="U37" s="33" t="s">
        <v>112</v>
      </c>
      <c r="V37" s="35">
        <v>25000</v>
      </c>
      <c r="X37" s="42" t="s">
        <v>122</v>
      </c>
      <c r="Y37" s="11" t="s">
        <v>120</v>
      </c>
      <c r="Z37" s="11">
        <f>SUMIFS(V36:V45,T36:T45,"Black",U36:U45,"South")</f>
        <v>71000</v>
      </c>
    </row>
    <row r="38" spans="1:26" x14ac:dyDescent="0.25">
      <c r="A38" t="s">
        <v>50</v>
      </c>
      <c r="B38" t="s">
        <v>14</v>
      </c>
      <c r="C38">
        <v>2014</v>
      </c>
      <c r="D38">
        <v>8.3000000000000007</v>
      </c>
      <c r="E38">
        <v>9.6</v>
      </c>
      <c r="F38">
        <v>89.12</v>
      </c>
      <c r="G38">
        <v>28.3</v>
      </c>
      <c r="H38">
        <v>74.5</v>
      </c>
      <c r="I38" s="24">
        <f t="shared" si="8"/>
        <v>89.12</v>
      </c>
      <c r="J38" s="24">
        <f t="shared" si="9"/>
        <v>3.0983866769659336</v>
      </c>
      <c r="K38" s="24" t="str">
        <f t="shared" si="10"/>
        <v>Sau</v>
      </c>
      <c r="L38" s="24" t="str">
        <f t="shared" si="11"/>
        <v>ast</v>
      </c>
      <c r="M38" s="24">
        <f t="shared" si="12"/>
        <v>66</v>
      </c>
      <c r="N38" s="24">
        <f t="shared" si="7"/>
        <v>12</v>
      </c>
      <c r="O38" s="24">
        <f t="shared" si="13"/>
        <v>3.1</v>
      </c>
      <c r="R38" s="32">
        <v>46025</v>
      </c>
      <c r="S38" s="33" t="s">
        <v>107</v>
      </c>
      <c r="T38" s="33" t="s">
        <v>108</v>
      </c>
      <c r="U38" s="33" t="s">
        <v>115</v>
      </c>
      <c r="V38" s="34">
        <v>40000</v>
      </c>
      <c r="X38" s="42" t="s">
        <v>122</v>
      </c>
      <c r="Y38" s="11" t="s">
        <v>121</v>
      </c>
      <c r="Z38" s="11">
        <f>SUMIFS(V36:V45,S36:S45,"Laptop",T36:T45,"Black",U36:U45,"South")</f>
        <v>45000</v>
      </c>
    </row>
    <row r="39" spans="1:26" x14ac:dyDescent="0.25">
      <c r="A39" t="s">
        <v>51</v>
      </c>
      <c r="B39" t="s">
        <v>52</v>
      </c>
      <c r="C39">
        <v>2004</v>
      </c>
      <c r="D39">
        <v>49.4</v>
      </c>
      <c r="E39">
        <v>64.599999999999994</v>
      </c>
      <c r="F39">
        <v>214.77449999999999</v>
      </c>
      <c r="G39">
        <v>29.1</v>
      </c>
      <c r="H39">
        <v>64.2</v>
      </c>
      <c r="I39" s="24">
        <f t="shared" si="8"/>
        <v>214.77</v>
      </c>
      <c r="J39" s="24">
        <f t="shared" si="9"/>
        <v>8.0374125189640466</v>
      </c>
      <c r="K39" s="24" t="str">
        <f t="shared" si="10"/>
        <v>Kir</v>
      </c>
      <c r="L39" s="24" t="str">
        <f t="shared" si="11"/>
        <v>nia</v>
      </c>
      <c r="M39" s="24">
        <f t="shared" si="12"/>
        <v>72</v>
      </c>
      <c r="N39" s="24">
        <f t="shared" si="7"/>
        <v>8</v>
      </c>
      <c r="O39" s="24">
        <f t="shared" si="13"/>
        <v>8</v>
      </c>
      <c r="R39" s="32">
        <v>46026</v>
      </c>
      <c r="S39" s="33" t="s">
        <v>113</v>
      </c>
      <c r="T39" s="33" t="s">
        <v>114</v>
      </c>
      <c r="U39" s="33" t="s">
        <v>109</v>
      </c>
      <c r="V39" s="36">
        <v>18000</v>
      </c>
    </row>
    <row r="40" spans="1:26" x14ac:dyDescent="0.25">
      <c r="A40" t="s">
        <v>53</v>
      </c>
      <c r="B40" t="s">
        <v>34</v>
      </c>
      <c r="C40">
        <v>2011</v>
      </c>
      <c r="D40">
        <v>12.2</v>
      </c>
      <c r="E40">
        <v>14.2</v>
      </c>
      <c r="F40">
        <v>154.45050000000001</v>
      </c>
      <c r="G40">
        <v>26.3</v>
      </c>
      <c r="H40">
        <v>72.7</v>
      </c>
      <c r="I40" s="24">
        <f t="shared" si="8"/>
        <v>154.44999999999999</v>
      </c>
      <c r="J40" s="24">
        <f t="shared" si="9"/>
        <v>3.7682887362833544</v>
      </c>
      <c r="K40" s="24" t="str">
        <f t="shared" si="10"/>
        <v>Sey</v>
      </c>
      <c r="L40" s="24" t="str">
        <f t="shared" si="11"/>
        <v>ica</v>
      </c>
      <c r="M40" s="24">
        <f t="shared" si="12"/>
        <v>50</v>
      </c>
      <c r="N40" s="24">
        <f t="shared" si="7"/>
        <v>10</v>
      </c>
      <c r="O40" s="24">
        <f t="shared" si="13"/>
        <v>3.8</v>
      </c>
      <c r="R40" s="32">
        <v>46027</v>
      </c>
      <c r="S40" s="33" t="s">
        <v>110</v>
      </c>
      <c r="T40" s="33" t="s">
        <v>111</v>
      </c>
      <c r="U40" s="33" t="s">
        <v>112</v>
      </c>
      <c r="V40" s="35">
        <v>27000</v>
      </c>
    </row>
    <row r="41" spans="1:26" ht="15.75" x14ac:dyDescent="0.25">
      <c r="A41" t="s">
        <v>40</v>
      </c>
      <c r="B41" t="s">
        <v>34</v>
      </c>
      <c r="C41">
        <v>2012</v>
      </c>
      <c r="D41">
        <v>44.6</v>
      </c>
      <c r="E41">
        <v>64.8</v>
      </c>
      <c r="F41">
        <v>232.446</v>
      </c>
      <c r="G41">
        <v>21.1</v>
      </c>
      <c r="H41">
        <v>64.3</v>
      </c>
      <c r="I41" s="24">
        <f t="shared" si="8"/>
        <v>232.45</v>
      </c>
      <c r="J41" s="24">
        <f t="shared" si="9"/>
        <v>8.0498447189992426</v>
      </c>
      <c r="K41" s="24" t="str">
        <f t="shared" si="10"/>
        <v>Mad</v>
      </c>
      <c r="L41" s="24" t="str">
        <f t="shared" si="11"/>
        <v>ica</v>
      </c>
      <c r="M41" s="24">
        <f t="shared" si="12"/>
        <v>3</v>
      </c>
      <c r="N41" s="24">
        <f t="shared" si="7"/>
        <v>10</v>
      </c>
      <c r="O41" s="24">
        <f t="shared" si="13"/>
        <v>8</v>
      </c>
      <c r="R41" s="32">
        <v>46028</v>
      </c>
      <c r="S41" s="33" t="s">
        <v>107</v>
      </c>
      <c r="T41" s="33" t="s">
        <v>111</v>
      </c>
      <c r="U41" s="33" t="s">
        <v>112</v>
      </c>
      <c r="V41" s="35">
        <v>42000</v>
      </c>
      <c r="X41" s="11"/>
      <c r="Y41" s="41" t="s">
        <v>123</v>
      </c>
      <c r="Z41" s="11">
        <f>AVERAGE(V36:V45)</f>
        <v>30500</v>
      </c>
    </row>
    <row r="42" spans="1:26" x14ac:dyDescent="0.25">
      <c r="A42" t="s">
        <v>54</v>
      </c>
      <c r="B42" t="s">
        <v>16</v>
      </c>
      <c r="C42">
        <v>2014</v>
      </c>
      <c r="D42">
        <v>2.2000000000000002</v>
      </c>
      <c r="E42">
        <v>2.7</v>
      </c>
      <c r="F42">
        <v>52.393000000000001</v>
      </c>
      <c r="G42">
        <v>23.6</v>
      </c>
      <c r="H42">
        <v>82.5</v>
      </c>
      <c r="I42" s="24">
        <f t="shared" si="8"/>
        <v>52.39</v>
      </c>
      <c r="J42" s="24">
        <f t="shared" si="9"/>
        <v>1.6431676725154984</v>
      </c>
      <c r="K42" s="24" t="str">
        <f t="shared" si="10"/>
        <v>Sin</v>
      </c>
      <c r="L42" s="24" t="str">
        <f t="shared" si="11"/>
        <v>sia</v>
      </c>
      <c r="M42" s="24">
        <f t="shared" si="12"/>
        <v>19</v>
      </c>
      <c r="N42" s="24">
        <f t="shared" si="7"/>
        <v>9</v>
      </c>
      <c r="O42" s="24">
        <f t="shared" si="13"/>
        <v>1.6</v>
      </c>
      <c r="R42" s="32">
        <v>46029</v>
      </c>
      <c r="S42" s="33" t="s">
        <v>113</v>
      </c>
      <c r="T42" s="33" t="s">
        <v>114</v>
      </c>
      <c r="U42" s="33" t="s">
        <v>115</v>
      </c>
      <c r="V42" s="36">
        <v>19000</v>
      </c>
      <c r="X42" s="42" t="s">
        <v>124</v>
      </c>
      <c r="Y42" s="11" t="s">
        <v>125</v>
      </c>
      <c r="Z42" s="11">
        <f>AVERAGEIF(T36:T45,"Blue",V36:V45)</f>
        <v>28500</v>
      </c>
    </row>
    <row r="43" spans="1:26" x14ac:dyDescent="0.25">
      <c r="A43" t="s">
        <v>55</v>
      </c>
      <c r="B43" t="s">
        <v>34</v>
      </c>
      <c r="C43">
        <v>2008</v>
      </c>
      <c r="D43">
        <v>61.4</v>
      </c>
      <c r="E43">
        <v>94.4</v>
      </c>
      <c r="F43">
        <v>318.7475</v>
      </c>
      <c r="G43">
        <v>22.9</v>
      </c>
      <c r="H43">
        <v>56.2</v>
      </c>
      <c r="I43" s="24">
        <f t="shared" si="8"/>
        <v>318.75</v>
      </c>
      <c r="J43" s="24">
        <f t="shared" si="9"/>
        <v>9.7159662411928949</v>
      </c>
      <c r="K43" s="24" t="str">
        <f t="shared" si="10"/>
        <v>Tog</v>
      </c>
      <c r="L43" s="24" t="str">
        <f t="shared" si="11"/>
        <v>ica</v>
      </c>
      <c r="M43" s="24">
        <f t="shared" si="12"/>
        <v>14</v>
      </c>
      <c r="N43" s="24">
        <f t="shared" si="7"/>
        <v>4</v>
      </c>
      <c r="O43" s="24">
        <f t="shared" si="13"/>
        <v>9.6999999999999993</v>
      </c>
      <c r="R43" s="32">
        <v>46030</v>
      </c>
      <c r="S43" s="33" t="s">
        <v>110</v>
      </c>
      <c r="T43" s="33" t="s">
        <v>108</v>
      </c>
      <c r="U43" s="33" t="s">
        <v>109</v>
      </c>
      <c r="V43" s="34">
        <v>26000</v>
      </c>
      <c r="X43" s="42" t="s">
        <v>126</v>
      </c>
      <c r="Y43" s="11" t="s">
        <v>127</v>
      </c>
      <c r="Z43" s="11">
        <f>AVERAGEIFS(V36:V45,T36:T45,"White",U36:U45,"East")</f>
        <v>19000</v>
      </c>
    </row>
    <row r="44" spans="1:26" x14ac:dyDescent="0.25">
      <c r="A44" t="s">
        <v>56</v>
      </c>
      <c r="B44" t="s">
        <v>15</v>
      </c>
      <c r="C44">
        <v>2009</v>
      </c>
      <c r="D44">
        <v>3.6</v>
      </c>
      <c r="E44">
        <v>4.2</v>
      </c>
      <c r="F44">
        <v>85.813500000000005</v>
      </c>
      <c r="G44">
        <v>25.3</v>
      </c>
      <c r="H44">
        <v>78.599999999999994</v>
      </c>
      <c r="I44" s="24">
        <f t="shared" si="8"/>
        <v>85.81</v>
      </c>
      <c r="J44" s="24">
        <f t="shared" si="9"/>
        <v>2.0493901531919199</v>
      </c>
      <c r="K44" s="24" t="str">
        <f t="shared" si="10"/>
        <v>Den</v>
      </c>
      <c r="L44" s="24" t="str">
        <f t="shared" si="11"/>
        <v>ion</v>
      </c>
      <c r="M44" s="24">
        <f t="shared" si="12"/>
        <v>27</v>
      </c>
      <c r="N44" s="24">
        <f t="shared" si="7"/>
        <v>7</v>
      </c>
      <c r="O44" s="24">
        <f t="shared" si="13"/>
        <v>2</v>
      </c>
      <c r="R44" s="32">
        <v>46031</v>
      </c>
      <c r="S44" s="33" t="s">
        <v>107</v>
      </c>
      <c r="T44" s="33" t="s">
        <v>116</v>
      </c>
      <c r="U44" s="33" t="s">
        <v>117</v>
      </c>
      <c r="V44" s="37">
        <v>43000</v>
      </c>
      <c r="X44" s="42" t="s">
        <v>126</v>
      </c>
      <c r="Y44" s="11" t="s">
        <v>128</v>
      </c>
      <c r="Z44" s="11">
        <f>AVERAGEIFS(V36:V45,T36:T45,"Blue",S36:S45,"Mobile",U36:U45,"North")</f>
        <v>26000</v>
      </c>
    </row>
    <row r="45" spans="1:26" x14ac:dyDescent="0.25">
      <c r="A45" t="s">
        <v>57</v>
      </c>
      <c r="B45" t="s">
        <v>34</v>
      </c>
      <c r="C45">
        <v>2015</v>
      </c>
      <c r="D45">
        <v>39.700000000000003</v>
      </c>
      <c r="E45">
        <v>59.8</v>
      </c>
      <c r="F45">
        <v>261.70650000000001</v>
      </c>
      <c r="G45">
        <v>23.9</v>
      </c>
      <c r="H45">
        <v>60.9</v>
      </c>
      <c r="I45" s="24">
        <f t="shared" si="8"/>
        <v>261.70999999999998</v>
      </c>
      <c r="J45" s="24">
        <f t="shared" si="9"/>
        <v>7.7330459716724818</v>
      </c>
      <c r="K45" s="24" t="str">
        <f t="shared" si="10"/>
        <v>Gam</v>
      </c>
      <c r="L45" s="24" t="str">
        <f t="shared" si="11"/>
        <v>ica</v>
      </c>
      <c r="M45" s="24">
        <f t="shared" si="12"/>
        <v>22</v>
      </c>
      <c r="N45" s="24">
        <f t="shared" si="7"/>
        <v>11</v>
      </c>
      <c r="O45" s="24">
        <f t="shared" si="13"/>
        <v>7.7</v>
      </c>
      <c r="R45" s="38">
        <v>46032</v>
      </c>
      <c r="S45" s="39" t="s">
        <v>113</v>
      </c>
      <c r="T45" s="39" t="s">
        <v>111</v>
      </c>
      <c r="U45" s="39" t="s">
        <v>112</v>
      </c>
      <c r="V45" s="40">
        <v>20000</v>
      </c>
    </row>
    <row r="46" spans="1:26" x14ac:dyDescent="0.25">
      <c r="A46" t="s">
        <v>20</v>
      </c>
      <c r="B46" t="s">
        <v>21</v>
      </c>
      <c r="C46">
        <v>2014</v>
      </c>
      <c r="D46">
        <v>7.9</v>
      </c>
      <c r="E46">
        <v>9.3000000000000007</v>
      </c>
      <c r="F46">
        <v>87.236999999999995</v>
      </c>
      <c r="G46">
        <v>27.2</v>
      </c>
      <c r="H46">
        <v>79.400000000000006</v>
      </c>
      <c r="I46" s="24">
        <f t="shared" si="8"/>
        <v>87.24</v>
      </c>
      <c r="J46" s="24">
        <f t="shared" si="9"/>
        <v>3.0495901363953815</v>
      </c>
      <c r="K46" s="24" t="str">
        <f t="shared" si="10"/>
        <v>Cos</v>
      </c>
      <c r="L46" s="24" t="str">
        <f t="shared" si="11"/>
        <v>ean</v>
      </c>
      <c r="M46" s="24">
        <f t="shared" si="12"/>
        <v>62</v>
      </c>
      <c r="N46" s="24">
        <f t="shared" ref="N46:N73" si="14">LEN(A46)</f>
        <v>10</v>
      </c>
      <c r="O46" s="24">
        <f t="shared" si="13"/>
        <v>3</v>
      </c>
      <c r="V46" s="3" t="s">
        <v>118</v>
      </c>
      <c r="W46">
        <f>SUM(V36:V45)</f>
        <v>305000</v>
      </c>
    </row>
    <row r="47" spans="1:26" x14ac:dyDescent="0.25">
      <c r="A47" t="s">
        <v>42</v>
      </c>
      <c r="B47" t="s">
        <v>21</v>
      </c>
      <c r="C47">
        <v>2010</v>
      </c>
      <c r="D47">
        <v>16.2</v>
      </c>
      <c r="E47">
        <v>18.899999999999999</v>
      </c>
      <c r="F47">
        <v>181.584</v>
      </c>
      <c r="G47">
        <v>28.4</v>
      </c>
      <c r="H47">
        <v>72.099999999999994</v>
      </c>
      <c r="I47" s="24">
        <f t="shared" si="8"/>
        <v>181.58</v>
      </c>
      <c r="J47" s="24">
        <f t="shared" si="9"/>
        <v>4.3474130238568316</v>
      </c>
      <c r="K47" s="24" t="str">
        <f t="shared" si="10"/>
        <v>Bel</v>
      </c>
      <c r="L47" s="24" t="str">
        <f t="shared" si="11"/>
        <v>ean</v>
      </c>
      <c r="M47" s="24">
        <f t="shared" si="12"/>
        <v>68</v>
      </c>
      <c r="N47" s="24">
        <f t="shared" si="14"/>
        <v>6</v>
      </c>
      <c r="O47" s="24">
        <f t="shared" si="13"/>
        <v>4.3</v>
      </c>
    </row>
    <row r="48" spans="1:26" x14ac:dyDescent="0.25">
      <c r="A48" t="s">
        <v>58</v>
      </c>
      <c r="B48" t="s">
        <v>15</v>
      </c>
      <c r="C48">
        <v>2010</v>
      </c>
      <c r="D48">
        <v>2.5</v>
      </c>
      <c r="E48">
        <v>3.1</v>
      </c>
      <c r="F48">
        <v>57.491999999999997</v>
      </c>
      <c r="G48">
        <v>25.8</v>
      </c>
      <c r="H48">
        <v>81.5</v>
      </c>
      <c r="I48" s="24">
        <f t="shared" si="8"/>
        <v>57.49</v>
      </c>
      <c r="J48" s="24">
        <f t="shared" si="9"/>
        <v>1.7606816861659009</v>
      </c>
      <c r="K48" s="24" t="str">
        <f t="shared" si="10"/>
        <v>Swe</v>
      </c>
      <c r="L48" s="24" t="str">
        <f t="shared" si="11"/>
        <v>ion</v>
      </c>
      <c r="M48" s="24">
        <f t="shared" si="12"/>
        <v>34</v>
      </c>
      <c r="N48" s="24">
        <f t="shared" si="14"/>
        <v>6</v>
      </c>
      <c r="O48" s="24">
        <f t="shared" si="13"/>
        <v>1.8</v>
      </c>
    </row>
    <row r="49" spans="1:28" x14ac:dyDescent="0.25">
      <c r="A49" t="s">
        <v>59</v>
      </c>
      <c r="B49" t="s">
        <v>15</v>
      </c>
      <c r="C49">
        <v>2014</v>
      </c>
      <c r="D49">
        <v>3.1</v>
      </c>
      <c r="E49">
        <v>3.8</v>
      </c>
      <c r="F49">
        <v>65.814999999999998</v>
      </c>
      <c r="G49">
        <v>25.5</v>
      </c>
      <c r="H49">
        <v>81.5</v>
      </c>
      <c r="I49" s="24">
        <f t="shared" si="8"/>
        <v>65.819999999999993</v>
      </c>
      <c r="J49" s="24">
        <f t="shared" si="9"/>
        <v>1.9493588689617927</v>
      </c>
      <c r="K49" s="24" t="str">
        <f t="shared" si="10"/>
        <v>Aus</v>
      </c>
      <c r="L49" s="24" t="str">
        <f t="shared" si="11"/>
        <v>ion</v>
      </c>
      <c r="M49" s="24">
        <f t="shared" si="12"/>
        <v>29</v>
      </c>
      <c r="N49" s="24">
        <f t="shared" si="14"/>
        <v>7</v>
      </c>
      <c r="O49" s="24">
        <f t="shared" si="13"/>
        <v>1.9</v>
      </c>
    </row>
    <row r="50" spans="1:28" x14ac:dyDescent="0.25">
      <c r="A50" t="s">
        <v>60</v>
      </c>
      <c r="B50" t="s">
        <v>16</v>
      </c>
      <c r="C50">
        <v>2012</v>
      </c>
      <c r="D50">
        <v>23.2</v>
      </c>
      <c r="E50">
        <v>26.1</v>
      </c>
      <c r="F50">
        <v>183.86250000000001</v>
      </c>
      <c r="G50">
        <v>26.1</v>
      </c>
      <c r="H50">
        <v>70</v>
      </c>
      <c r="I50" s="24">
        <f t="shared" si="8"/>
        <v>183.86</v>
      </c>
      <c r="J50" s="24">
        <f t="shared" si="9"/>
        <v>5.1088159097779204</v>
      </c>
      <c r="K50" s="24" t="str">
        <f t="shared" si="10"/>
        <v>Kyr</v>
      </c>
      <c r="L50" s="24" t="str">
        <f t="shared" si="11"/>
        <v>sia</v>
      </c>
      <c r="M50" s="24">
        <f t="shared" si="12"/>
        <v>45</v>
      </c>
      <c r="N50" s="24">
        <f t="shared" si="14"/>
        <v>15</v>
      </c>
      <c r="O50" s="24">
        <f t="shared" si="13"/>
        <v>5.0999999999999996</v>
      </c>
    </row>
    <row r="51" spans="1:28" ht="21" x14ac:dyDescent="0.35">
      <c r="A51" t="s">
        <v>61</v>
      </c>
      <c r="B51" t="s">
        <v>21</v>
      </c>
      <c r="C51">
        <v>2013</v>
      </c>
      <c r="D51">
        <v>13.8</v>
      </c>
      <c r="E51">
        <v>15.8</v>
      </c>
      <c r="F51">
        <v>143.83150000000001</v>
      </c>
      <c r="G51">
        <v>26.7</v>
      </c>
      <c r="H51">
        <v>72.599999999999994</v>
      </c>
      <c r="I51" s="24">
        <f t="shared" si="8"/>
        <v>143.83000000000001</v>
      </c>
      <c r="J51" s="24">
        <f t="shared" si="9"/>
        <v>3.9749213828703582</v>
      </c>
      <c r="K51" s="24" t="str">
        <f t="shared" si="10"/>
        <v>Gre</v>
      </c>
      <c r="L51" s="24" t="str">
        <f t="shared" si="11"/>
        <v>ean</v>
      </c>
      <c r="M51" s="24">
        <f t="shared" si="12"/>
        <v>58</v>
      </c>
      <c r="N51" s="24">
        <f t="shared" si="14"/>
        <v>7</v>
      </c>
      <c r="O51" s="24">
        <f t="shared" si="13"/>
        <v>4</v>
      </c>
      <c r="Q51" s="50" t="s">
        <v>165</v>
      </c>
      <c r="AB51" t="s">
        <v>150</v>
      </c>
    </row>
    <row r="52" spans="1:28" x14ac:dyDescent="0.25">
      <c r="A52" t="s">
        <v>62</v>
      </c>
      <c r="B52" t="s">
        <v>16</v>
      </c>
      <c r="C52">
        <v>2010</v>
      </c>
      <c r="D52">
        <v>7.9</v>
      </c>
      <c r="E52">
        <v>9.6999999999999993</v>
      </c>
      <c r="F52">
        <v>91.945499999999996</v>
      </c>
      <c r="G52">
        <v>26.4</v>
      </c>
      <c r="H52">
        <v>74.7</v>
      </c>
      <c r="I52" s="24">
        <f t="shared" si="8"/>
        <v>91.95</v>
      </c>
      <c r="J52" s="24">
        <f t="shared" si="9"/>
        <v>3.1144823004794873</v>
      </c>
      <c r="K52" s="24" t="str">
        <f t="shared" si="10"/>
        <v>Bru</v>
      </c>
      <c r="L52" s="24" t="str">
        <f t="shared" si="11"/>
        <v>sia</v>
      </c>
      <c r="M52" s="24">
        <f t="shared" si="12"/>
        <v>53</v>
      </c>
      <c r="N52" s="24">
        <f t="shared" si="14"/>
        <v>17</v>
      </c>
      <c r="O52" s="24">
        <f t="shared" si="13"/>
        <v>3.1</v>
      </c>
    </row>
    <row r="53" spans="1:28" ht="15.75" x14ac:dyDescent="0.25">
      <c r="A53" t="s">
        <v>63</v>
      </c>
      <c r="B53" t="s">
        <v>15</v>
      </c>
      <c r="C53">
        <v>2009</v>
      </c>
      <c r="D53">
        <v>3.4</v>
      </c>
      <c r="E53">
        <v>3.9</v>
      </c>
      <c r="F53">
        <v>75.947999999999993</v>
      </c>
      <c r="G53">
        <v>27</v>
      </c>
      <c r="H53">
        <v>80.2</v>
      </c>
      <c r="I53" s="24">
        <f t="shared" si="8"/>
        <v>75.95</v>
      </c>
      <c r="J53" s="24">
        <f t="shared" si="9"/>
        <v>1.9748417658131499</v>
      </c>
      <c r="K53" s="24" t="str">
        <f t="shared" si="10"/>
        <v>Gre</v>
      </c>
      <c r="L53" s="24" t="str">
        <f t="shared" si="11"/>
        <v>ion</v>
      </c>
      <c r="M53" s="24">
        <f t="shared" si="12"/>
        <v>59</v>
      </c>
      <c r="N53" s="24">
        <f t="shared" si="14"/>
        <v>6</v>
      </c>
      <c r="O53" s="24">
        <f t="shared" si="13"/>
        <v>2</v>
      </c>
      <c r="R53" t="s">
        <v>107</v>
      </c>
      <c r="S53">
        <f>VLOOKUP(S41,S36:V45,4,0)</f>
        <v>45000</v>
      </c>
      <c r="U53" s="7" t="s">
        <v>135</v>
      </c>
      <c r="X53" s="7" t="s">
        <v>137</v>
      </c>
      <c r="Z53" s="7" t="s">
        <v>149</v>
      </c>
    </row>
    <row r="54" spans="1:28" x14ac:dyDescent="0.25">
      <c r="A54" t="s">
        <v>31</v>
      </c>
      <c r="B54" t="s">
        <v>23</v>
      </c>
      <c r="C54">
        <v>2010</v>
      </c>
      <c r="D54">
        <v>2.7</v>
      </c>
      <c r="E54">
        <v>3.3</v>
      </c>
      <c r="F54">
        <v>64.861999999999995</v>
      </c>
      <c r="G54">
        <v>26.4</v>
      </c>
      <c r="H54">
        <v>81</v>
      </c>
      <c r="I54" s="24">
        <f t="shared" si="8"/>
        <v>64.86</v>
      </c>
      <c r="J54" s="24">
        <f t="shared" si="9"/>
        <v>1.8165902124584949</v>
      </c>
      <c r="K54" s="24" t="str">
        <f t="shared" si="10"/>
        <v>Nor</v>
      </c>
      <c r="L54" s="24" t="str">
        <f t="shared" si="11"/>
        <v>ope</v>
      </c>
      <c r="M54" s="24">
        <f t="shared" si="12"/>
        <v>53</v>
      </c>
      <c r="N54" s="24">
        <f t="shared" si="14"/>
        <v>6</v>
      </c>
      <c r="O54" s="24">
        <f t="shared" si="13"/>
        <v>1.8</v>
      </c>
      <c r="Q54" s="8" t="s">
        <v>132</v>
      </c>
      <c r="R54" t="s">
        <v>113</v>
      </c>
      <c r="S54" t="str">
        <f>VLOOKUP(S42,S36:V45,2,0)</f>
        <v>White</v>
      </c>
      <c r="U54" t="s">
        <v>134</v>
      </c>
      <c r="V54">
        <f>MATCH(S61,S61:AB61,)</f>
        <v>1</v>
      </c>
      <c r="X54">
        <f>INDEX(S63:AB63,7)</f>
        <v>19000</v>
      </c>
      <c r="Z54">
        <f>_xlfn.XLOOKUP(S60,S60:AB60,S63:AB63)</f>
        <v>45000</v>
      </c>
    </row>
    <row r="55" spans="1:28" x14ac:dyDescent="0.25">
      <c r="A55" t="s">
        <v>64</v>
      </c>
      <c r="B55" t="s">
        <v>17</v>
      </c>
      <c r="C55">
        <v>2006</v>
      </c>
      <c r="D55">
        <v>11.7</v>
      </c>
      <c r="E55">
        <v>13.5</v>
      </c>
      <c r="F55">
        <v>116.762</v>
      </c>
      <c r="G55">
        <v>26.3</v>
      </c>
      <c r="H55">
        <v>76</v>
      </c>
      <c r="I55" s="24">
        <f t="shared" si="8"/>
        <v>116.76</v>
      </c>
      <c r="J55" s="24">
        <f t="shared" si="9"/>
        <v>3.6742346141747673</v>
      </c>
      <c r="K55" s="24" t="str">
        <f t="shared" si="10"/>
        <v>Uru</v>
      </c>
      <c r="L55" s="24" t="str">
        <f t="shared" si="11"/>
        <v>ica</v>
      </c>
      <c r="M55" s="24">
        <f t="shared" si="12"/>
        <v>50</v>
      </c>
      <c r="N55" s="24">
        <f t="shared" si="14"/>
        <v>7</v>
      </c>
      <c r="O55" s="24">
        <f t="shared" si="13"/>
        <v>3.7</v>
      </c>
      <c r="R55" t="s">
        <v>110</v>
      </c>
      <c r="S55">
        <f>VLOOKUP(S43,S36:V45,4,0)</f>
        <v>25000</v>
      </c>
      <c r="U55" t="s">
        <v>136</v>
      </c>
      <c r="V55">
        <f>MATCH(U55,S60:AB60,0)</f>
        <v>1</v>
      </c>
      <c r="X55" t="str">
        <f>INDEX(S60:AB60,3)</f>
        <v>Laptop</v>
      </c>
      <c r="Z55">
        <f>_xlfn.XLOOKUP(T60,S60:AB60,S63:AB63)</f>
        <v>25000</v>
      </c>
    </row>
    <row r="56" spans="1:28" x14ac:dyDescent="0.25">
      <c r="A56" t="s">
        <v>65</v>
      </c>
      <c r="B56" t="s">
        <v>15</v>
      </c>
      <c r="C56">
        <v>2006</v>
      </c>
      <c r="D56">
        <v>5.5</v>
      </c>
      <c r="E56">
        <v>6.4</v>
      </c>
      <c r="F56">
        <v>109.298</v>
      </c>
      <c r="G56">
        <v>26.2</v>
      </c>
      <c r="H56">
        <v>75.8</v>
      </c>
      <c r="I56" s="24">
        <f t="shared" si="8"/>
        <v>109.3</v>
      </c>
      <c r="J56" s="24">
        <f t="shared" si="9"/>
        <v>2.5298221281347035</v>
      </c>
      <c r="K56" s="24" t="str">
        <f t="shared" si="10"/>
        <v>Cro</v>
      </c>
      <c r="L56" s="24" t="str">
        <f t="shared" si="11"/>
        <v>ion</v>
      </c>
      <c r="M56" s="24">
        <f t="shared" si="12"/>
        <v>47</v>
      </c>
      <c r="N56" s="24">
        <f t="shared" si="14"/>
        <v>7</v>
      </c>
      <c r="O56" s="24">
        <f t="shared" si="13"/>
        <v>2.5</v>
      </c>
      <c r="U56" t="s">
        <v>138</v>
      </c>
      <c r="V56">
        <f>MATCH(U56,S61:AB61,0)</f>
        <v>4</v>
      </c>
    </row>
    <row r="57" spans="1:28" x14ac:dyDescent="0.25">
      <c r="A57" t="s">
        <v>66</v>
      </c>
      <c r="B57" t="s">
        <v>15</v>
      </c>
      <c r="C57">
        <v>2008</v>
      </c>
      <c r="D57">
        <v>11.9</v>
      </c>
      <c r="E57">
        <v>14</v>
      </c>
      <c r="F57">
        <v>151.86150000000001</v>
      </c>
      <c r="G57">
        <v>25.8</v>
      </c>
      <c r="H57">
        <v>72.599999999999994</v>
      </c>
      <c r="I57" s="24">
        <f t="shared" si="8"/>
        <v>151.86000000000001</v>
      </c>
      <c r="J57" s="24">
        <f t="shared" si="9"/>
        <v>3.7416573867739413</v>
      </c>
      <c r="K57" s="24" t="str">
        <f t="shared" si="10"/>
        <v>Rom</v>
      </c>
      <c r="L57" s="24" t="str">
        <f t="shared" si="11"/>
        <v>ion</v>
      </c>
      <c r="M57" s="24">
        <f t="shared" si="12"/>
        <v>34</v>
      </c>
      <c r="N57" s="24">
        <f t="shared" si="14"/>
        <v>7</v>
      </c>
      <c r="O57" s="24">
        <f t="shared" si="13"/>
        <v>3.7</v>
      </c>
    </row>
    <row r="58" spans="1:28" x14ac:dyDescent="0.25">
      <c r="A58" t="s">
        <v>67</v>
      </c>
      <c r="B58" t="s">
        <v>34</v>
      </c>
      <c r="C58">
        <v>2011</v>
      </c>
      <c r="D58">
        <v>96.7</v>
      </c>
      <c r="E58">
        <v>140.5</v>
      </c>
      <c r="F58">
        <v>463.613</v>
      </c>
      <c r="G58">
        <v>22.5</v>
      </c>
      <c r="H58">
        <v>48</v>
      </c>
      <c r="I58" s="24">
        <f t="shared" si="8"/>
        <v>463.61</v>
      </c>
      <c r="J58" s="24">
        <f t="shared" si="9"/>
        <v>11.853269591129697</v>
      </c>
      <c r="K58" s="24" t="str">
        <f t="shared" si="10"/>
        <v>Cen</v>
      </c>
      <c r="L58" s="24" t="str">
        <f t="shared" si="11"/>
        <v>ica</v>
      </c>
      <c r="M58" s="24">
        <f t="shared" si="12"/>
        <v>10</v>
      </c>
      <c r="N58" s="24">
        <f t="shared" si="14"/>
        <v>24</v>
      </c>
      <c r="O58" s="24">
        <f t="shared" si="13"/>
        <v>11.9</v>
      </c>
      <c r="Q58" s="8" t="s">
        <v>133</v>
      </c>
    </row>
    <row r="59" spans="1:28" x14ac:dyDescent="0.25">
      <c r="A59" t="s">
        <v>68</v>
      </c>
      <c r="B59" t="s">
        <v>34</v>
      </c>
      <c r="C59">
        <v>2015</v>
      </c>
      <c r="D59">
        <v>21.6</v>
      </c>
      <c r="E59">
        <v>25.2</v>
      </c>
      <c r="F59">
        <v>95.8155</v>
      </c>
      <c r="G59">
        <v>25.5</v>
      </c>
      <c r="H59">
        <v>76.099999999999994</v>
      </c>
      <c r="I59" s="24">
        <f t="shared" si="8"/>
        <v>95.82</v>
      </c>
      <c r="J59" s="24">
        <f t="shared" si="9"/>
        <v>5.0199601592044534</v>
      </c>
      <c r="K59" s="24" t="str">
        <f t="shared" si="10"/>
        <v>Alg</v>
      </c>
      <c r="L59" s="24" t="str">
        <f t="shared" si="11"/>
        <v>ica</v>
      </c>
      <c r="M59" s="24">
        <f t="shared" si="12"/>
        <v>29</v>
      </c>
      <c r="N59" s="24">
        <f t="shared" si="14"/>
        <v>7</v>
      </c>
      <c r="O59" s="24">
        <f t="shared" si="13"/>
        <v>5</v>
      </c>
      <c r="R59" s="43" t="s">
        <v>103</v>
      </c>
      <c r="S59" s="44" t="s">
        <v>139</v>
      </c>
      <c r="T59" s="44" t="s">
        <v>140</v>
      </c>
      <c r="U59" s="44" t="s">
        <v>141</v>
      </c>
      <c r="V59" s="44" t="s">
        <v>142</v>
      </c>
      <c r="W59" s="44" t="s">
        <v>143</v>
      </c>
      <c r="X59" s="44" t="s">
        <v>144</v>
      </c>
      <c r="Y59" s="44" t="s">
        <v>145</v>
      </c>
      <c r="Z59" s="44" t="s">
        <v>146</v>
      </c>
      <c r="AA59" s="44" t="s">
        <v>147</v>
      </c>
      <c r="AB59" s="22" t="s">
        <v>148</v>
      </c>
    </row>
    <row r="60" spans="1:28" x14ac:dyDescent="0.25">
      <c r="A60" t="s">
        <v>69</v>
      </c>
      <c r="B60" t="s">
        <v>14</v>
      </c>
      <c r="C60">
        <v>2011</v>
      </c>
      <c r="D60">
        <v>45.3</v>
      </c>
      <c r="E60">
        <v>58.5</v>
      </c>
      <c r="F60">
        <v>231.94450000000001</v>
      </c>
      <c r="G60">
        <v>23.4</v>
      </c>
      <c r="H60">
        <v>65.8</v>
      </c>
      <c r="I60" s="24">
        <f t="shared" si="8"/>
        <v>231.94</v>
      </c>
      <c r="J60" s="24">
        <f t="shared" si="9"/>
        <v>7.6485292703891776</v>
      </c>
      <c r="K60" s="24" t="str">
        <f t="shared" si="10"/>
        <v>Yem</v>
      </c>
      <c r="L60" s="24" t="str">
        <f t="shared" si="11"/>
        <v>ast</v>
      </c>
      <c r="M60" s="24">
        <f t="shared" si="12"/>
        <v>16</v>
      </c>
      <c r="N60" s="24">
        <f t="shared" si="14"/>
        <v>11</v>
      </c>
      <c r="O60" s="24">
        <f t="shared" si="13"/>
        <v>7.6</v>
      </c>
      <c r="R60" s="45" t="s">
        <v>104</v>
      </c>
      <c r="S60" s="33" t="s">
        <v>107</v>
      </c>
      <c r="T60" s="33" t="s">
        <v>110</v>
      </c>
      <c r="U60" s="33" t="s">
        <v>107</v>
      </c>
      <c r="V60" s="33" t="s">
        <v>113</v>
      </c>
      <c r="W60" s="33" t="s">
        <v>110</v>
      </c>
      <c r="X60" s="33" t="s">
        <v>107</v>
      </c>
      <c r="Y60" s="33" t="s">
        <v>113</v>
      </c>
      <c r="Z60" s="33" t="s">
        <v>110</v>
      </c>
      <c r="AA60" s="33" t="s">
        <v>107</v>
      </c>
      <c r="AB60" s="36" t="s">
        <v>113</v>
      </c>
    </row>
    <row r="61" spans="1:28" x14ac:dyDescent="0.25">
      <c r="A61" t="s">
        <v>70</v>
      </c>
      <c r="B61" t="s">
        <v>23</v>
      </c>
      <c r="C61">
        <v>2009</v>
      </c>
      <c r="D61">
        <v>17.2</v>
      </c>
      <c r="E61">
        <v>19.2</v>
      </c>
      <c r="F61">
        <v>139.36150000000001</v>
      </c>
      <c r="G61">
        <v>26</v>
      </c>
      <c r="H61">
        <v>73.099999999999994</v>
      </c>
      <c r="I61" s="24">
        <f t="shared" si="8"/>
        <v>139.36000000000001</v>
      </c>
      <c r="J61" s="24">
        <f t="shared" si="9"/>
        <v>4.3817804600413286</v>
      </c>
      <c r="K61" s="24" t="str">
        <f t="shared" si="10"/>
        <v>Arm</v>
      </c>
      <c r="L61" s="24" t="str">
        <f t="shared" si="11"/>
        <v>ope</v>
      </c>
      <c r="M61" s="24">
        <f t="shared" si="12"/>
        <v>41</v>
      </c>
      <c r="N61" s="24">
        <f t="shared" si="14"/>
        <v>7</v>
      </c>
      <c r="O61" s="24">
        <f t="shared" si="13"/>
        <v>4.4000000000000004</v>
      </c>
      <c r="R61" s="45" t="s">
        <v>105</v>
      </c>
      <c r="S61" s="33" t="s">
        <v>108</v>
      </c>
      <c r="T61" s="33" t="s">
        <v>111</v>
      </c>
      <c r="U61" s="33" t="s">
        <v>108</v>
      </c>
      <c r="V61" s="33" t="s">
        <v>114</v>
      </c>
      <c r="W61" s="33" t="s">
        <v>111</v>
      </c>
      <c r="X61" s="33" t="s">
        <v>111</v>
      </c>
      <c r="Y61" s="33" t="s">
        <v>114</v>
      </c>
      <c r="Z61" s="33" t="s">
        <v>108</v>
      </c>
      <c r="AA61" s="33" t="s">
        <v>116</v>
      </c>
      <c r="AB61" s="36" t="s">
        <v>111</v>
      </c>
    </row>
    <row r="62" spans="1:28" x14ac:dyDescent="0.25">
      <c r="A62" t="s">
        <v>45</v>
      </c>
      <c r="B62" t="s">
        <v>34</v>
      </c>
      <c r="C62">
        <v>2004</v>
      </c>
      <c r="D62">
        <v>51.2</v>
      </c>
      <c r="E62">
        <v>92.4</v>
      </c>
      <c r="F62">
        <v>686.63900000000001</v>
      </c>
      <c r="G62">
        <v>23.4</v>
      </c>
      <c r="H62">
        <v>43.1</v>
      </c>
      <c r="I62" s="24">
        <f t="shared" si="8"/>
        <v>686.64</v>
      </c>
      <c r="J62" s="24">
        <f t="shared" si="9"/>
        <v>9.6124918725583335</v>
      </c>
      <c r="K62" s="24" t="str">
        <f t="shared" si="10"/>
        <v>Zim</v>
      </c>
      <c r="L62" s="24" t="str">
        <f t="shared" si="11"/>
        <v>ica</v>
      </c>
      <c r="M62" s="24">
        <f t="shared" si="12"/>
        <v>16</v>
      </c>
      <c r="N62" s="24">
        <f t="shared" si="14"/>
        <v>8</v>
      </c>
      <c r="O62" s="24">
        <f t="shared" si="13"/>
        <v>9.6</v>
      </c>
      <c r="R62" s="45" t="s">
        <v>1</v>
      </c>
      <c r="S62" s="33" t="s">
        <v>109</v>
      </c>
      <c r="T62" s="33" t="s">
        <v>112</v>
      </c>
      <c r="U62" s="33" t="s">
        <v>115</v>
      </c>
      <c r="V62" s="33" t="s">
        <v>109</v>
      </c>
      <c r="W62" s="33" t="s">
        <v>112</v>
      </c>
      <c r="X62" s="33" t="s">
        <v>112</v>
      </c>
      <c r="Y62" s="33" t="s">
        <v>115</v>
      </c>
      <c r="Z62" s="33" t="s">
        <v>109</v>
      </c>
      <c r="AA62" s="33" t="s">
        <v>117</v>
      </c>
      <c r="AB62" s="36" t="s">
        <v>112</v>
      </c>
    </row>
    <row r="63" spans="1:28" x14ac:dyDescent="0.25">
      <c r="A63" t="s">
        <v>71</v>
      </c>
      <c r="B63" t="s">
        <v>21</v>
      </c>
      <c r="C63">
        <v>2003</v>
      </c>
      <c r="D63">
        <v>19</v>
      </c>
      <c r="E63">
        <v>21.7</v>
      </c>
      <c r="F63">
        <v>179.18700000000001</v>
      </c>
      <c r="G63">
        <v>25.8</v>
      </c>
      <c r="H63">
        <v>71.099999999999994</v>
      </c>
      <c r="I63" s="24">
        <f t="shared" si="8"/>
        <v>179.19</v>
      </c>
      <c r="J63" s="24">
        <f t="shared" si="9"/>
        <v>4.658325879540846</v>
      </c>
      <c r="K63" s="24" t="str">
        <f t="shared" si="10"/>
        <v>St.</v>
      </c>
      <c r="L63" s="24" t="str">
        <f t="shared" si="11"/>
        <v>ean</v>
      </c>
      <c r="M63" s="24">
        <f t="shared" si="12"/>
        <v>34</v>
      </c>
      <c r="N63" s="24">
        <f t="shared" si="14"/>
        <v>30</v>
      </c>
      <c r="O63" s="24">
        <f t="shared" si="13"/>
        <v>4.7</v>
      </c>
      <c r="R63" s="46" t="s">
        <v>106</v>
      </c>
      <c r="S63" s="47">
        <v>45000</v>
      </c>
      <c r="T63" s="48">
        <v>25000</v>
      </c>
      <c r="U63" s="47">
        <v>40000</v>
      </c>
      <c r="V63" s="39">
        <v>18000</v>
      </c>
      <c r="W63" s="48">
        <v>27000</v>
      </c>
      <c r="X63" s="48">
        <v>42000</v>
      </c>
      <c r="Y63" s="39">
        <v>19000</v>
      </c>
      <c r="Z63" s="47">
        <v>26000</v>
      </c>
      <c r="AA63" s="49">
        <v>43000</v>
      </c>
      <c r="AB63" s="40">
        <v>20000</v>
      </c>
    </row>
    <row r="64" spans="1:28" x14ac:dyDescent="0.25">
      <c r="A64" t="s">
        <v>72</v>
      </c>
      <c r="B64" t="s">
        <v>34</v>
      </c>
      <c r="C64">
        <v>2007</v>
      </c>
      <c r="D64">
        <v>43.7</v>
      </c>
      <c r="E64">
        <v>68</v>
      </c>
      <c r="F64">
        <v>345.5865</v>
      </c>
      <c r="G64">
        <v>22.6</v>
      </c>
      <c r="H64">
        <v>57.5</v>
      </c>
      <c r="I64" s="24">
        <f t="shared" si="8"/>
        <v>345.59</v>
      </c>
      <c r="J64" s="24">
        <f t="shared" si="9"/>
        <v>8.2462112512353212</v>
      </c>
      <c r="K64" s="24" t="str">
        <f t="shared" si="10"/>
        <v>Ken</v>
      </c>
      <c r="L64" s="24" t="str">
        <f t="shared" si="11"/>
        <v>ica</v>
      </c>
      <c r="M64" s="24">
        <f t="shared" si="12"/>
        <v>11</v>
      </c>
      <c r="N64" s="24">
        <f t="shared" si="14"/>
        <v>5</v>
      </c>
      <c r="O64" s="24">
        <f t="shared" si="13"/>
        <v>8.1999999999999993</v>
      </c>
    </row>
    <row r="65" spans="1:29" x14ac:dyDescent="0.25">
      <c r="A65" t="s">
        <v>73</v>
      </c>
      <c r="B65" t="s">
        <v>52</v>
      </c>
      <c r="C65">
        <v>2003</v>
      </c>
      <c r="D65">
        <v>29</v>
      </c>
      <c r="E65">
        <v>35.200000000000003</v>
      </c>
      <c r="F65">
        <v>180.95349999999999</v>
      </c>
      <c r="G65">
        <v>28.9</v>
      </c>
      <c r="H65">
        <v>65.099999999999994</v>
      </c>
      <c r="I65" s="24">
        <f t="shared" si="8"/>
        <v>180.95</v>
      </c>
      <c r="J65" s="24">
        <f t="shared" si="9"/>
        <v>5.9329587896765306</v>
      </c>
      <c r="K65" s="24" t="str">
        <f t="shared" si="10"/>
        <v>Mic</v>
      </c>
      <c r="L65" s="24" t="str">
        <f t="shared" si="11"/>
        <v>nia</v>
      </c>
      <c r="M65" s="24">
        <f t="shared" si="12"/>
        <v>71</v>
      </c>
      <c r="N65" s="24">
        <f t="shared" si="14"/>
        <v>21</v>
      </c>
      <c r="O65" s="24">
        <f t="shared" si="13"/>
        <v>5.9</v>
      </c>
      <c r="Q65" t="s">
        <v>107</v>
      </c>
      <c r="R65" s="6">
        <f>HLOOKUP(S60,S60:AB63,4,0)</f>
        <v>45000</v>
      </c>
    </row>
    <row r="66" spans="1:29" x14ac:dyDescent="0.25">
      <c r="A66" t="s">
        <v>74</v>
      </c>
      <c r="B66" t="s">
        <v>21</v>
      </c>
      <c r="C66">
        <v>2004</v>
      </c>
      <c r="D66">
        <v>11</v>
      </c>
      <c r="E66">
        <v>13.5</v>
      </c>
      <c r="F66">
        <v>148.5575</v>
      </c>
      <c r="G66">
        <v>25.5</v>
      </c>
      <c r="H66">
        <v>74.8</v>
      </c>
      <c r="I66" s="24">
        <f t="shared" ref="I66:I73" si="15">ROUND(F66,2)</f>
        <v>148.56</v>
      </c>
      <c r="J66" s="24">
        <f t="shared" ref="J66:J73" si="16">SQRT(E66)</f>
        <v>3.6742346141747673</v>
      </c>
      <c r="K66" s="24" t="str">
        <f t="shared" ref="K66:K73" si="17">LEFT(A66,3)</f>
        <v>Ant</v>
      </c>
      <c r="L66" s="24" t="str">
        <f t="shared" ref="L66:L73" si="18">RIGHT(B66,3)</f>
        <v>ean</v>
      </c>
      <c r="M66" s="24">
        <f t="shared" ref="M66:M73" si="19">RANK(G66,G:G,1)</f>
        <v>29</v>
      </c>
      <c r="N66" s="24">
        <f t="shared" si="14"/>
        <v>19</v>
      </c>
      <c r="O66" s="24">
        <f t="shared" si="13"/>
        <v>3.7</v>
      </c>
      <c r="Q66" t="s">
        <v>134</v>
      </c>
      <c r="R66">
        <f>HLOOKUP(T60,S60:AB63,4,0)</f>
        <v>25000</v>
      </c>
    </row>
    <row r="67" spans="1:29" x14ac:dyDescent="0.25">
      <c r="A67" t="s">
        <v>75</v>
      </c>
      <c r="B67" t="s">
        <v>16</v>
      </c>
      <c r="C67">
        <v>2007</v>
      </c>
      <c r="D67">
        <v>41.9</v>
      </c>
      <c r="E67">
        <v>53.4</v>
      </c>
      <c r="F67">
        <v>191.53749999999999</v>
      </c>
      <c r="G67">
        <v>21.4</v>
      </c>
      <c r="H67">
        <v>66.3</v>
      </c>
      <c r="I67" s="24">
        <f t="shared" si="15"/>
        <v>191.54</v>
      </c>
      <c r="J67" s="24">
        <f t="shared" si="16"/>
        <v>7.3075303625780439</v>
      </c>
      <c r="K67" s="24" t="str">
        <f t="shared" si="17"/>
        <v>Nep</v>
      </c>
      <c r="L67" s="24" t="str">
        <f t="shared" si="18"/>
        <v>sia</v>
      </c>
      <c r="M67" s="24">
        <f t="shared" si="19"/>
        <v>6</v>
      </c>
      <c r="N67" s="24">
        <f t="shared" si="14"/>
        <v>5</v>
      </c>
      <c r="O67" s="24">
        <f t="shared" ref="O67:O73" si="20">ROUND(SQRT(E67),1)</f>
        <v>7.3</v>
      </c>
    </row>
    <row r="68" spans="1:29" ht="21" x14ac:dyDescent="0.35">
      <c r="A68" t="s">
        <v>76</v>
      </c>
      <c r="B68" t="s">
        <v>15</v>
      </c>
      <c r="C68">
        <v>2005</v>
      </c>
      <c r="D68">
        <v>7.3</v>
      </c>
      <c r="E68">
        <v>9</v>
      </c>
      <c r="F68">
        <v>222.06899999999999</v>
      </c>
      <c r="G68">
        <v>26.2</v>
      </c>
      <c r="H68">
        <v>71.3</v>
      </c>
      <c r="I68" s="24">
        <f t="shared" si="15"/>
        <v>222.07</v>
      </c>
      <c r="J68" s="24">
        <f t="shared" si="16"/>
        <v>3</v>
      </c>
      <c r="K68" s="24" t="str">
        <f t="shared" si="17"/>
        <v>Lit</v>
      </c>
      <c r="L68" s="24" t="str">
        <f t="shared" si="18"/>
        <v>ion</v>
      </c>
      <c r="M68" s="24">
        <f t="shared" si="19"/>
        <v>47</v>
      </c>
      <c r="N68" s="24">
        <f t="shared" si="14"/>
        <v>9</v>
      </c>
      <c r="O68" s="24">
        <f t="shared" si="20"/>
        <v>3</v>
      </c>
      <c r="Q68" s="50" t="s">
        <v>163</v>
      </c>
      <c r="V68" s="50" t="s">
        <v>164</v>
      </c>
    </row>
    <row r="69" spans="1:29" x14ac:dyDescent="0.25">
      <c r="A69" t="s">
        <v>77</v>
      </c>
      <c r="B69" t="s">
        <v>52</v>
      </c>
      <c r="C69">
        <v>2003</v>
      </c>
      <c r="D69">
        <v>23.5</v>
      </c>
      <c r="E69">
        <v>28.1</v>
      </c>
      <c r="F69">
        <v>168.71449999999999</v>
      </c>
      <c r="G69">
        <v>25.6</v>
      </c>
      <c r="H69">
        <v>68</v>
      </c>
      <c r="I69" s="24">
        <f t="shared" si="15"/>
        <v>168.71</v>
      </c>
      <c r="J69" s="24">
        <f t="shared" si="16"/>
        <v>5.3009433122794292</v>
      </c>
      <c r="K69" s="24" t="str">
        <f t="shared" si="17"/>
        <v>Van</v>
      </c>
      <c r="L69" s="24" t="str">
        <f t="shared" si="18"/>
        <v>nia</v>
      </c>
      <c r="M69" s="24">
        <f t="shared" si="19"/>
        <v>32</v>
      </c>
      <c r="N69" s="24">
        <f t="shared" si="14"/>
        <v>7</v>
      </c>
      <c r="O69" s="24">
        <f t="shared" si="20"/>
        <v>5.3</v>
      </c>
    </row>
    <row r="70" spans="1:29" x14ac:dyDescent="0.25">
      <c r="A70" t="s">
        <v>78</v>
      </c>
      <c r="B70" t="s">
        <v>16</v>
      </c>
      <c r="C70">
        <v>2000</v>
      </c>
      <c r="D70">
        <v>90.5</v>
      </c>
      <c r="E70">
        <v>129.19999999999999</v>
      </c>
      <c r="F70">
        <v>310.83049999999997</v>
      </c>
      <c r="G70">
        <v>21.7</v>
      </c>
      <c r="H70">
        <v>55.8</v>
      </c>
      <c r="I70" s="24">
        <f t="shared" si="15"/>
        <v>310.83</v>
      </c>
      <c r="J70" s="24">
        <f t="shared" si="16"/>
        <v>11.366617790706258</v>
      </c>
      <c r="K70" s="24" t="str">
        <f t="shared" si="17"/>
        <v>Afg</v>
      </c>
      <c r="L70" s="24" t="str">
        <f t="shared" si="18"/>
        <v>sia</v>
      </c>
      <c r="M70" s="24">
        <f t="shared" si="19"/>
        <v>7</v>
      </c>
      <c r="N70" s="24">
        <f t="shared" si="14"/>
        <v>11</v>
      </c>
      <c r="O70" s="24">
        <f t="shared" si="20"/>
        <v>11.4</v>
      </c>
      <c r="Q70" s="19" t="s">
        <v>151</v>
      </c>
      <c r="R70" s="20" t="s">
        <v>152</v>
      </c>
      <c r="S70" s="20" t="s">
        <v>153</v>
      </c>
      <c r="T70" s="21" t="s">
        <v>162</v>
      </c>
      <c r="V70" s="16" t="s">
        <v>154</v>
      </c>
      <c r="W70" s="17" t="s">
        <v>155</v>
      </c>
      <c r="X70" s="17" t="s">
        <v>156</v>
      </c>
      <c r="Y70" s="17" t="s">
        <v>157</v>
      </c>
      <c r="Z70" s="17" t="s">
        <v>158</v>
      </c>
      <c r="AA70" s="17" t="s">
        <v>159</v>
      </c>
      <c r="AB70" s="17" t="s">
        <v>160</v>
      </c>
      <c r="AC70" s="18" t="s">
        <v>161</v>
      </c>
    </row>
    <row r="71" spans="1:29" x14ac:dyDescent="0.25">
      <c r="A71" t="s">
        <v>79</v>
      </c>
      <c r="B71" t="s">
        <v>14</v>
      </c>
      <c r="C71">
        <v>2011</v>
      </c>
      <c r="D71">
        <v>8.5</v>
      </c>
      <c r="E71">
        <v>10</v>
      </c>
      <c r="F71">
        <v>64.968999999999994</v>
      </c>
      <c r="G71">
        <v>29.1</v>
      </c>
      <c r="H71">
        <v>74.599999999999994</v>
      </c>
      <c r="I71" s="24">
        <f t="shared" si="15"/>
        <v>64.97</v>
      </c>
      <c r="J71" s="24">
        <f t="shared" si="16"/>
        <v>3.1622776601683795</v>
      </c>
      <c r="K71" s="24" t="str">
        <f t="shared" si="17"/>
        <v>Kuw</v>
      </c>
      <c r="L71" s="24" t="str">
        <f t="shared" si="18"/>
        <v>ast</v>
      </c>
      <c r="M71" s="24">
        <f t="shared" si="19"/>
        <v>72</v>
      </c>
      <c r="N71" s="24">
        <f t="shared" si="14"/>
        <v>6</v>
      </c>
      <c r="O71" s="24">
        <f t="shared" si="20"/>
        <v>3.2</v>
      </c>
      <c r="Q71" s="10">
        <v>20</v>
      </c>
      <c r="R71" s="11" t="str">
        <f>IF(Table3[[#This Row],[AGE]]&gt;=18,"vote")</f>
        <v>vote</v>
      </c>
      <c r="S71" s="11" t="str">
        <f>IF(Table3[[#This Row],[AGE]]&lt;10,"under10",IF(Table3[[#This Row],[AGE]]&gt;15,"above 15","10-15"))</f>
        <v>above 15</v>
      </c>
      <c r="T71" s="12" t="str">
        <f>IF(Table3[[#This Row],[AGE]]&gt;=20,"20-30",IF(Table3[[#This Row],[AGE]]&gt;=30,"30-40",IF(Table3[[#This Row],[AGE]]&gt;=40,"above 40","below 20")))</f>
        <v>20-30</v>
      </c>
      <c r="V71" s="10">
        <v>60</v>
      </c>
      <c r="W71" s="11">
        <v>60</v>
      </c>
      <c r="X71" s="11" t="b">
        <f>AND(V71&gt;25,W71&gt;25)</f>
        <v>1</v>
      </c>
      <c r="Y71" s="11" t="b">
        <f>OR(V71&gt;25,W71&gt;25)</f>
        <v>1</v>
      </c>
      <c r="Z71" s="54" t="str">
        <f t="shared" ref="Z71:AA73" si="21">IF(X71,"Pass","Fail")</f>
        <v>Pass</v>
      </c>
      <c r="AA71" s="54" t="str">
        <f t="shared" si="21"/>
        <v>Pass</v>
      </c>
      <c r="AB71" s="11" t="b">
        <f>_xlfn.XOR(V71&gt;25,W71&gt;25)</f>
        <v>0</v>
      </c>
      <c r="AC71" s="12" t="b">
        <f>NOT(X71)</f>
        <v>0</v>
      </c>
    </row>
    <row r="72" spans="1:29" x14ac:dyDescent="0.25">
      <c r="A72" t="s">
        <v>72</v>
      </c>
      <c r="B72" t="s">
        <v>34</v>
      </c>
      <c r="C72">
        <v>2011</v>
      </c>
      <c r="D72">
        <v>38.5</v>
      </c>
      <c r="E72">
        <v>55.5</v>
      </c>
      <c r="F72">
        <v>260.375</v>
      </c>
      <c r="G72">
        <v>22.9</v>
      </c>
      <c r="H72">
        <v>61.9</v>
      </c>
      <c r="I72" s="24">
        <f t="shared" si="15"/>
        <v>260.38</v>
      </c>
      <c r="J72" s="24">
        <f t="shared" si="16"/>
        <v>7.4498322128756698</v>
      </c>
      <c r="K72" s="24" t="str">
        <f t="shared" si="17"/>
        <v>Ken</v>
      </c>
      <c r="L72" s="24" t="str">
        <f t="shared" si="18"/>
        <v>ica</v>
      </c>
      <c r="M72" s="24">
        <f t="shared" si="19"/>
        <v>14</v>
      </c>
      <c r="N72" s="24">
        <f t="shared" si="14"/>
        <v>5</v>
      </c>
      <c r="O72" s="24">
        <f t="shared" si="20"/>
        <v>7.4</v>
      </c>
      <c r="Q72" s="10">
        <v>16</v>
      </c>
      <c r="R72" s="11" t="str">
        <f>IF(Table3[[#This Row],[AGE]]&gt;=18,"vote","no vote")</f>
        <v>no vote</v>
      </c>
      <c r="S72" s="11" t="str">
        <f>IF(Table3[[#This Row],[AGE]]&lt;10,"under10",IF(Table3[[#This Row],[AGE]]&gt;15,"above 15","10-15"))</f>
        <v>above 15</v>
      </c>
      <c r="T72" s="12" t="str">
        <f>IF(Table3[[#This Row],[AGE]]&gt;=20,"20-30",IF(Table3[[#This Row],[AGE]]&gt;=30,"30-40",IF(Table3[[#This Row],[AGE]]&gt;=40,"above 40","below 20")))</f>
        <v>below 20</v>
      </c>
      <c r="V72" s="10">
        <v>50</v>
      </c>
      <c r="W72" s="11">
        <v>85</v>
      </c>
      <c r="X72" s="11" t="b">
        <f t="shared" ref="X72:X77" si="22">AND(V72&gt;25,W72&gt;25)</f>
        <v>1</v>
      </c>
      <c r="Y72" s="11" t="b">
        <f t="shared" ref="Y72:Y77" si="23">OR(V72&gt;25,W72&gt;25)</f>
        <v>1</v>
      </c>
      <c r="Z72" s="54" t="str">
        <f t="shared" si="21"/>
        <v>Pass</v>
      </c>
      <c r="AA72" s="54" t="str">
        <f t="shared" si="21"/>
        <v>Pass</v>
      </c>
      <c r="AB72" s="11" t="b">
        <f t="shared" ref="AB72:AB77" si="24">_xlfn.XOR(V72&gt;25,W72&gt;25)</f>
        <v>0</v>
      </c>
      <c r="AC72" s="12" t="b">
        <f t="shared" ref="AC72:AC77" si="25">NOT(X72)</f>
        <v>0</v>
      </c>
    </row>
    <row r="73" spans="1:29" x14ac:dyDescent="0.25">
      <c r="A73" t="s">
        <v>49</v>
      </c>
      <c r="B73" t="s">
        <v>15</v>
      </c>
      <c r="C73">
        <v>2004</v>
      </c>
      <c r="D73">
        <v>4</v>
      </c>
      <c r="E73">
        <v>4.9000000000000004</v>
      </c>
      <c r="F73">
        <v>86.3185</v>
      </c>
      <c r="G73">
        <v>26</v>
      </c>
      <c r="H73">
        <v>78.7</v>
      </c>
      <c r="I73" s="24">
        <f t="shared" si="15"/>
        <v>86.32</v>
      </c>
      <c r="J73" s="24">
        <f t="shared" si="16"/>
        <v>2.2135943621178655</v>
      </c>
      <c r="K73" s="24" t="str">
        <f t="shared" si="17"/>
        <v>Ger</v>
      </c>
      <c r="L73" s="24" t="str">
        <f t="shared" si="18"/>
        <v>ion</v>
      </c>
      <c r="M73" s="24">
        <f t="shared" si="19"/>
        <v>41</v>
      </c>
      <c r="N73" s="24">
        <f t="shared" si="14"/>
        <v>7</v>
      </c>
      <c r="O73" s="24">
        <f t="shared" si="20"/>
        <v>2.2000000000000002</v>
      </c>
      <c r="Q73" s="10">
        <v>23</v>
      </c>
      <c r="R73" s="11" t="str">
        <f>IF(Table3[[#This Row],[AGE]]&gt;=18,"vote","no vote")</f>
        <v>vote</v>
      </c>
      <c r="S73" s="11" t="str">
        <f>IF(Table3[[#This Row],[AGE]]&lt;10,"under10",IF(Table3[[#This Row],[AGE]]&gt;15,"above 15","10-15"))</f>
        <v>above 15</v>
      </c>
      <c r="T73" s="12" t="str">
        <f>IF(Table3[[#This Row],[AGE]]&gt;=20,"20-30",IF(Table3[[#This Row],[AGE]]&gt;=30,"30-40",IF(Table3[[#This Row],[AGE]]&gt;=40,"above 40","below 20")))</f>
        <v>20-30</v>
      </c>
      <c r="V73" s="10">
        <v>84</v>
      </c>
      <c r="W73" s="11">
        <v>80</v>
      </c>
      <c r="X73" s="11" t="b">
        <f t="shared" si="22"/>
        <v>1</v>
      </c>
      <c r="Y73" s="11" t="b">
        <f t="shared" si="23"/>
        <v>1</v>
      </c>
      <c r="Z73" s="54" t="str">
        <f t="shared" si="21"/>
        <v>Pass</v>
      </c>
      <c r="AA73" s="54" t="str">
        <f t="shared" si="21"/>
        <v>Pass</v>
      </c>
      <c r="AB73" s="11" t="b">
        <f t="shared" si="24"/>
        <v>0</v>
      </c>
      <c r="AC73" s="12" t="b">
        <f t="shared" si="25"/>
        <v>0</v>
      </c>
    </row>
    <row r="74" spans="1:29" x14ac:dyDescent="0.25">
      <c r="Q74" s="10">
        <v>14</v>
      </c>
      <c r="R74" s="11" t="str">
        <f>IF(Table3[[#This Row],[AGE]]&gt;=18,"vote","no vote")</f>
        <v>no vote</v>
      </c>
      <c r="S74" s="11" t="str">
        <f>IF(Table3[[#This Row],[AGE]]&lt;10,"under10",IF(Table3[[#This Row],[AGE]]&gt;15,"above 15","10-15"))</f>
        <v>10-15</v>
      </c>
      <c r="T74" s="12" t="str">
        <f>IF(Table3[[#This Row],[AGE]]&gt;=20,"20-30",IF(Table3[[#This Row],[AGE]]&gt;=30,"30-40",IF(Table3[[#This Row],[AGE]]&gt;=40,"above 40","below 20")))</f>
        <v>below 20</v>
      </c>
      <c r="V74" s="10">
        <v>85</v>
      </c>
      <c r="W74" s="11">
        <v>25</v>
      </c>
      <c r="X74" s="11" t="b">
        <f t="shared" si="22"/>
        <v>0</v>
      </c>
      <c r="Y74" s="11" t="b">
        <f t="shared" si="23"/>
        <v>1</v>
      </c>
      <c r="Z74" s="53" t="str">
        <f t="shared" ref="Z74:Z77" si="26">IF(X74,"Pass","Fail")</f>
        <v>Fail</v>
      </c>
      <c r="AA74" s="54" t="str">
        <f t="shared" ref="AA74:AA77" si="27">IF(Y74,"Pass","Fail")</f>
        <v>Pass</v>
      </c>
      <c r="AB74" s="11" t="b">
        <f t="shared" si="24"/>
        <v>1</v>
      </c>
      <c r="AC74" s="12" t="b">
        <f t="shared" si="25"/>
        <v>1</v>
      </c>
    </row>
    <row r="75" spans="1:29" x14ac:dyDescent="0.25">
      <c r="G75" s="2"/>
      <c r="Q75" s="10">
        <v>15</v>
      </c>
      <c r="R75" s="11" t="str">
        <f>IF(Table3[[#This Row],[AGE]]&gt;=18,"vote","no vote")</f>
        <v>no vote</v>
      </c>
      <c r="S75" s="11" t="str">
        <f>IF(Table3[[#This Row],[AGE]]&lt;10,"under10",IF(Table3[[#This Row],[AGE]]&gt;15,"above 15","10-15"))</f>
        <v>10-15</v>
      </c>
      <c r="T75" s="12" t="str">
        <f>IF(Table3[[#This Row],[AGE]]&gt;=20,"20-30",IF(Table3[[#This Row],[AGE]]&gt;=30,"30-40",IF(Table3[[#This Row],[AGE]]&gt;=40,"above 40","below 20")))</f>
        <v>below 20</v>
      </c>
      <c r="V75" s="10">
        <v>30</v>
      </c>
      <c r="W75" s="11">
        <v>20</v>
      </c>
      <c r="X75" s="11" t="b">
        <f t="shared" si="22"/>
        <v>0</v>
      </c>
      <c r="Y75" s="11" t="b">
        <f t="shared" si="23"/>
        <v>1</v>
      </c>
      <c r="Z75" s="53" t="str">
        <f t="shared" si="26"/>
        <v>Fail</v>
      </c>
      <c r="AA75" s="54" t="str">
        <f t="shared" si="27"/>
        <v>Pass</v>
      </c>
      <c r="AB75" s="11" t="b">
        <f t="shared" si="24"/>
        <v>1</v>
      </c>
      <c r="AC75" s="12" t="b">
        <f t="shared" si="25"/>
        <v>1</v>
      </c>
    </row>
    <row r="76" spans="1:29" x14ac:dyDescent="0.25">
      <c r="Q76" s="10">
        <v>25</v>
      </c>
      <c r="R76" s="11" t="str">
        <f>IF(Table3[[#This Row],[AGE]]&gt;=18,"vote","no vote")</f>
        <v>vote</v>
      </c>
      <c r="S76" s="11" t="str">
        <f>IF(Table3[[#This Row],[AGE]]&lt;10,"under10",IF(Table3[[#This Row],[AGE]]&gt;15,"above 15","10-15"))</f>
        <v>above 15</v>
      </c>
      <c r="T76" s="12" t="str">
        <f>IF(Table3[[#This Row],[AGE]]&gt;=20,"20-30",IF(Table3[[#This Row],[AGE]]&gt;=30,"30-40",IF(Table3[[#This Row],[AGE]]&gt;=40,"above 40","below 20")))</f>
        <v>20-30</v>
      </c>
      <c r="V76" s="10">
        <v>35</v>
      </c>
      <c r="W76" s="11">
        <v>60</v>
      </c>
      <c r="X76" s="11" t="b">
        <f t="shared" si="22"/>
        <v>1</v>
      </c>
      <c r="Y76" s="11" t="b">
        <f t="shared" si="23"/>
        <v>1</v>
      </c>
      <c r="Z76" s="54" t="str">
        <f t="shared" si="26"/>
        <v>Pass</v>
      </c>
      <c r="AA76" s="54" t="str">
        <f t="shared" si="27"/>
        <v>Pass</v>
      </c>
      <c r="AB76" s="11" t="b">
        <f t="shared" si="24"/>
        <v>0</v>
      </c>
      <c r="AC76" s="12" t="b">
        <f t="shared" si="25"/>
        <v>0</v>
      </c>
    </row>
    <row r="77" spans="1:29" x14ac:dyDescent="0.25">
      <c r="Q77" s="13">
        <v>80</v>
      </c>
      <c r="R77" s="14" t="str">
        <f>IF(Table3[[#This Row],[AGE]]&gt;=18,"vote","no vote")</f>
        <v>vote</v>
      </c>
      <c r="S77" s="14" t="str">
        <f>IF(Table3[[#This Row],[AGE]]&lt;10,"under10",IF(Table3[[#This Row],[AGE]]&gt;15,"above 15","10-15"))</f>
        <v>above 15</v>
      </c>
      <c r="T77" s="15" t="str">
        <f>IF(Table3[[#This Row],[AGE]]&gt;=20,"20-30",IF(Table3[[#This Row],[AGE]]&gt;=30,"30-40",IF(Table3[[#This Row],[AGE]]&gt;=40,"above 40","below 20")))</f>
        <v>20-30</v>
      </c>
      <c r="V77" s="13">
        <v>40</v>
      </c>
      <c r="W77" s="14">
        <v>50</v>
      </c>
      <c r="X77" s="14" t="b">
        <f t="shared" si="22"/>
        <v>1</v>
      </c>
      <c r="Y77" s="14" t="b">
        <f t="shared" si="23"/>
        <v>1</v>
      </c>
      <c r="Z77" s="55" t="str">
        <f t="shared" si="26"/>
        <v>Pass</v>
      </c>
      <c r="AA77" s="54" t="str">
        <f t="shared" si="27"/>
        <v>Pass</v>
      </c>
      <c r="AB77" s="14" t="b">
        <f t="shared" si="24"/>
        <v>0</v>
      </c>
      <c r="AC77" s="15" t="b">
        <f t="shared" si="25"/>
        <v>0</v>
      </c>
    </row>
    <row r="78" spans="1:29" ht="21" x14ac:dyDescent="0.35">
      <c r="E78" s="50" t="s">
        <v>166</v>
      </c>
    </row>
    <row r="80" spans="1:29" ht="23.25" x14ac:dyDescent="0.35">
      <c r="B80" s="1" t="s">
        <v>171</v>
      </c>
      <c r="C80" s="1" t="s">
        <v>0</v>
      </c>
      <c r="D80" s="1" t="s">
        <v>1</v>
      </c>
      <c r="E80" s="1" t="s">
        <v>2</v>
      </c>
      <c r="F80" s="51" t="s">
        <v>167</v>
      </c>
      <c r="G80" s="51" t="s">
        <v>168</v>
      </c>
      <c r="H80" s="51" t="s">
        <v>169</v>
      </c>
      <c r="I80" s="51" t="s">
        <v>172</v>
      </c>
      <c r="J80" s="51" t="s">
        <v>173</v>
      </c>
      <c r="K80" s="51" t="s">
        <v>174</v>
      </c>
      <c r="L80" s="51" t="s">
        <v>175</v>
      </c>
      <c r="M80" s="51" t="s">
        <v>176</v>
      </c>
      <c r="Q80" s="59" t="s">
        <v>180</v>
      </c>
    </row>
    <row r="81" spans="2:18" x14ac:dyDescent="0.25">
      <c r="B81">
        <v>1</v>
      </c>
      <c r="C81" t="s">
        <v>34</v>
      </c>
      <c r="D81" t="s">
        <v>14</v>
      </c>
      <c r="E81">
        <v>2015</v>
      </c>
      <c r="F81" s="11">
        <f>COUNT(E80:E104)</f>
        <v>15</v>
      </c>
      <c r="G81" s="11">
        <f>COUNTA(E80:E104)</f>
        <v>16</v>
      </c>
      <c r="H81" s="11">
        <f>COUNTBLANK(E81:E104)</f>
        <v>9</v>
      </c>
      <c r="I81" s="11">
        <f>AVERAGE(E81:E90)</f>
        <v>2008.5</v>
      </c>
      <c r="J81" s="11">
        <f>MEDIAN(E81:E104)</f>
        <v>2007</v>
      </c>
      <c r="K81" s="11">
        <f>MODE(E81:E104)</f>
        <v>2015</v>
      </c>
      <c r="L81" s="11">
        <f>CORREL(B81:B104,E81:E104)</f>
        <v>-0.40545499636454502</v>
      </c>
      <c r="M81" s="11">
        <f>_xlfn.STDEV.S(E81:E104)</f>
        <v>5.0028563269967519</v>
      </c>
    </row>
    <row r="82" spans="2:18" ht="32.25" customHeight="1" x14ac:dyDescent="0.25">
      <c r="B82">
        <v>2</v>
      </c>
      <c r="C82" t="s">
        <v>16</v>
      </c>
      <c r="D82" t="s">
        <v>15</v>
      </c>
      <c r="E82">
        <v>2015</v>
      </c>
      <c r="P82" s="56" t="s">
        <v>181</v>
      </c>
      <c r="Q82" s="56" t="s">
        <v>182</v>
      </c>
      <c r="R82" s="56" t="s">
        <v>183</v>
      </c>
    </row>
    <row r="83" spans="2:18" ht="81" customHeight="1" x14ac:dyDescent="0.25">
      <c r="B83">
        <v>3</v>
      </c>
      <c r="C83" t="s">
        <v>34</v>
      </c>
      <c r="D83" t="s">
        <v>16</v>
      </c>
      <c r="E83">
        <v>2007</v>
      </c>
      <c r="P83" s="57" t="s">
        <v>184</v>
      </c>
      <c r="Q83" s="11"/>
      <c r="R83" s="58">
        <v>15562000</v>
      </c>
    </row>
    <row r="84" spans="2:18" ht="80.25" customHeight="1" x14ac:dyDescent="0.25">
      <c r="B84">
        <v>4</v>
      </c>
      <c r="C84" t="s">
        <v>34</v>
      </c>
      <c r="D84" t="s">
        <v>17</v>
      </c>
      <c r="E84">
        <v>2006</v>
      </c>
      <c r="P84" s="57" t="s">
        <v>187</v>
      </c>
      <c r="Q84" s="11"/>
      <c r="R84" s="58">
        <v>14589232</v>
      </c>
    </row>
    <row r="85" spans="2:18" ht="81" customHeight="1" x14ac:dyDescent="0.25">
      <c r="B85">
        <v>5</v>
      </c>
      <c r="C85" t="s">
        <v>16</v>
      </c>
      <c r="D85" t="s">
        <v>14</v>
      </c>
      <c r="E85">
        <v>2012</v>
      </c>
      <c r="P85" s="57" t="s">
        <v>186</v>
      </c>
      <c r="Q85" s="11"/>
      <c r="R85" s="58">
        <v>789523224</v>
      </c>
    </row>
    <row r="86" spans="2:18" ht="81.75" customHeight="1" x14ac:dyDescent="0.25">
      <c r="B86">
        <v>6</v>
      </c>
      <c r="C86" t="s">
        <v>34</v>
      </c>
      <c r="D86" t="s">
        <v>21</v>
      </c>
      <c r="E86">
        <v>2006</v>
      </c>
      <c r="G86" s="52" t="s">
        <v>177</v>
      </c>
      <c r="H86" s="51" t="s">
        <v>170</v>
      </c>
      <c r="P86" s="57" t="s">
        <v>185</v>
      </c>
      <c r="Q86" s="11"/>
      <c r="R86" s="58">
        <v>46621654</v>
      </c>
    </row>
    <row r="87" spans="2:18" x14ac:dyDescent="0.25">
      <c r="B87">
        <v>7</v>
      </c>
      <c r="C87" t="s">
        <v>34</v>
      </c>
      <c r="D87" t="s">
        <v>23</v>
      </c>
      <c r="E87">
        <v>2015</v>
      </c>
      <c r="G87" t="s">
        <v>178</v>
      </c>
      <c r="H87" s="11">
        <f>COUNTIF(C81:C104,"Asia")</f>
        <v>4</v>
      </c>
    </row>
    <row r="88" spans="2:18" x14ac:dyDescent="0.25">
      <c r="B88">
        <v>8</v>
      </c>
      <c r="C88" t="s">
        <v>93</v>
      </c>
      <c r="D88" t="s">
        <v>15</v>
      </c>
      <c r="E88">
        <v>2000</v>
      </c>
      <c r="G88">
        <v>2007</v>
      </c>
      <c r="H88">
        <f>COUNTIFS(E81:E97,E83)</f>
        <v>2</v>
      </c>
    </row>
    <row r="89" spans="2:18" ht="15.75" x14ac:dyDescent="0.25">
      <c r="B89">
        <v>9</v>
      </c>
      <c r="C89" t="s">
        <v>16</v>
      </c>
      <c r="D89" t="s">
        <v>14</v>
      </c>
      <c r="E89">
        <v>2001</v>
      </c>
      <c r="G89" t="s">
        <v>179</v>
      </c>
      <c r="H89">
        <f>COUNTIFS(D81:D95,D82)</f>
        <v>3</v>
      </c>
      <c r="I89" s="1"/>
    </row>
    <row r="90" spans="2:18" x14ac:dyDescent="0.25">
      <c r="B90">
        <v>10</v>
      </c>
      <c r="C90" t="s">
        <v>16</v>
      </c>
      <c r="D90" t="s">
        <v>23</v>
      </c>
      <c r="E90">
        <v>2008</v>
      </c>
    </row>
    <row r="91" spans="2:18" x14ac:dyDescent="0.25">
      <c r="B91">
        <v>11</v>
      </c>
      <c r="C91" t="s">
        <v>34</v>
      </c>
      <c r="D91" t="s">
        <v>17</v>
      </c>
      <c r="E91">
        <v>2012</v>
      </c>
    </row>
    <row r="92" spans="2:18" x14ac:dyDescent="0.25">
      <c r="B92">
        <v>12</v>
      </c>
      <c r="C92" t="s">
        <v>27</v>
      </c>
      <c r="D92" t="s">
        <v>15</v>
      </c>
      <c r="E92">
        <v>2007</v>
      </c>
    </row>
    <row r="93" spans="2:18" x14ac:dyDescent="0.25">
      <c r="B93">
        <v>13</v>
      </c>
      <c r="C93" t="s">
        <v>28</v>
      </c>
      <c r="D93" t="s">
        <v>21</v>
      </c>
      <c r="E93">
        <v>2011</v>
      </c>
    </row>
    <row r="94" spans="2:18" x14ac:dyDescent="0.25">
      <c r="B94">
        <v>14</v>
      </c>
      <c r="C94" t="s">
        <v>29</v>
      </c>
      <c r="D94" t="s">
        <v>23</v>
      </c>
      <c r="E94">
        <v>2002</v>
      </c>
    </row>
    <row r="95" spans="2:18" x14ac:dyDescent="0.25">
      <c r="B95">
        <v>15</v>
      </c>
      <c r="C95" t="s">
        <v>30</v>
      </c>
      <c r="D95" t="s">
        <v>23</v>
      </c>
      <c r="E95">
        <v>2006</v>
      </c>
    </row>
  </sheetData>
  <autoFilter ref="P82:R86" xr:uid="{6F51B985-C9A3-4AEC-B746-39BD1860B523}"/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23691a3306@MITS.COM</dc:creator>
  <cp:lastModifiedBy>23691A3306@mits.com</cp:lastModifiedBy>
  <dcterms:created xsi:type="dcterms:W3CDTF">2026-06-01T06:11:50Z</dcterms:created>
  <dcterms:modified xsi:type="dcterms:W3CDTF">2026-06-02T11:28:15Z</dcterms:modified>
</cp:coreProperties>
</file>