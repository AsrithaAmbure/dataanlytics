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DA\"/>
    </mc:Choice>
  </mc:AlternateContent>
  <xr:revisionPtr revIDLastSave="0" documentId="13_ncr:1_{1D228660-7BA7-443C-A628-E935EEB76B1D}" xr6:coauthVersionLast="47" xr6:coauthVersionMax="47" xr10:uidLastSave="{00000000-0000-0000-0000-000000000000}"/>
  <bookViews>
    <workbookView xWindow="-120" yWindow="-120" windowWidth="29040" windowHeight="15720" xr2:uid="{02BD5F67-049E-4C94-B3F8-81A0D08BCF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0" i="1" l="1"/>
  <c r="Y3" i="1" a="1"/>
  <c r="Y3" i="1" s="1"/>
  <c r="X3" i="1" a="1"/>
  <c r="X3" i="1" s="1"/>
  <c r="X57" i="1"/>
  <c r="X56" i="1"/>
  <c r="X55" i="1"/>
  <c r="X54" i="1"/>
  <c r="X51" i="1"/>
  <c r="X50" i="1"/>
  <c r="X49" i="1"/>
  <c r="X46" i="1"/>
  <c r="T30" i="1"/>
  <c r="V30" i="1" s="1"/>
  <c r="S31" i="1"/>
  <c r="S30" i="1"/>
  <c r="U8" i="1"/>
  <c r="U7" i="1"/>
  <c r="U6" i="1"/>
  <c r="U5" i="1"/>
  <c r="U4" i="1"/>
  <c r="U3" i="1"/>
  <c r="U2" i="1"/>
  <c r="V16" i="1" a="1"/>
  <c r="V16" i="1" s="1"/>
  <c r="U16" i="1" a="1"/>
  <c r="U16" i="1" s="1"/>
  <c r="W16" i="1" s="1" a="1"/>
  <c r="W16" i="1" s="1"/>
  <c r="T16" i="1" a="1"/>
  <c r="T16" i="1" s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3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R7" i="1"/>
  <c r="O9" i="1"/>
  <c r="N9" i="1"/>
  <c r="M9" i="1"/>
  <c r="L9" i="1"/>
  <c r="K9" i="1"/>
  <c r="J9" i="1"/>
  <c r="R6" i="1"/>
  <c r="O8" i="1"/>
  <c r="N8" i="1"/>
  <c r="M8" i="1"/>
  <c r="L8" i="1"/>
  <c r="K8" i="1"/>
  <c r="J8" i="1"/>
  <c r="R5" i="1"/>
  <c r="O7" i="1"/>
  <c r="N7" i="1"/>
  <c r="M7" i="1"/>
  <c r="L7" i="1"/>
  <c r="K7" i="1"/>
  <c r="J7" i="1"/>
  <c r="R4" i="1"/>
  <c r="O6" i="1"/>
  <c r="N6" i="1"/>
  <c r="M6" i="1"/>
  <c r="L6" i="1"/>
  <c r="K6" i="1"/>
  <c r="J6" i="1"/>
  <c r="R3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P2" i="1" s="1"/>
  <c r="J2" i="1"/>
  <c r="U30" i="1" l="1"/>
  <c r="W3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<sst xmlns="http://schemas.openxmlformats.org/spreadsheetml/2006/main" count="259" uniqueCount="132">
  <si>
    <t>Country</t>
  </si>
  <si>
    <t>Region</t>
  </si>
  <si>
    <t>Year</t>
  </si>
  <si>
    <t>Infant_deaths</t>
  </si>
  <si>
    <t>Under_five_deaths</t>
  </si>
  <si>
    <t>Adult_mortality</t>
  </si>
  <si>
    <t>BMI</t>
  </si>
  <si>
    <t>Life_expectancy</t>
  </si>
  <si>
    <t>round</t>
  </si>
  <si>
    <t>sqrt</t>
  </si>
  <si>
    <t>left</t>
  </si>
  <si>
    <t>right</t>
  </si>
  <si>
    <t>rank</t>
  </si>
  <si>
    <t>len</t>
  </si>
  <si>
    <t>Middle East</t>
  </si>
  <si>
    <t>European Union</t>
  </si>
  <si>
    <t>Asia</t>
  </si>
  <si>
    <t>South America</t>
  </si>
  <si>
    <t>min</t>
  </si>
  <si>
    <t>max</t>
  </si>
  <si>
    <t>Costa Rica</t>
  </si>
  <si>
    <t>Central America and Caribbean</t>
  </si>
  <si>
    <t xml:space="preserve"> sum BMI</t>
  </si>
  <si>
    <t>Rest of Europe</t>
  </si>
  <si>
    <t>average BMI</t>
  </si>
  <si>
    <t>median BMI</t>
  </si>
  <si>
    <t>Jordan</t>
  </si>
  <si>
    <t>Malta</t>
  </si>
  <si>
    <t>Bahamas, The</t>
  </si>
  <si>
    <t>Ukraine</t>
  </si>
  <si>
    <t>Switzerland</t>
  </si>
  <si>
    <t>Norway</t>
  </si>
  <si>
    <t>Finland</t>
  </si>
  <si>
    <t>Comoros</t>
  </si>
  <si>
    <t>Africa</t>
  </si>
  <si>
    <t>Japan</t>
  </si>
  <si>
    <t>Gabon</t>
  </si>
  <si>
    <t>Ghana</t>
  </si>
  <si>
    <t>Philippines</t>
  </si>
  <si>
    <t>Congo, Rep.</t>
  </si>
  <si>
    <t>Madagascar</t>
  </si>
  <si>
    <t>Estonia</t>
  </si>
  <si>
    <t>Belize</t>
  </si>
  <si>
    <t>Kazakhstan</t>
  </si>
  <si>
    <t>Cameroon</t>
  </si>
  <si>
    <t>Zimbabwe</t>
  </si>
  <si>
    <t>Bhutan</t>
  </si>
  <si>
    <t>South Africa</t>
  </si>
  <si>
    <t>Eritrea</t>
  </si>
  <si>
    <t>Germany</t>
  </si>
  <si>
    <t>Saudi Arabia</t>
  </si>
  <si>
    <t>Kiribati</t>
  </si>
  <si>
    <t>Oceania</t>
  </si>
  <si>
    <t>Seychelles</t>
  </si>
  <si>
    <t>Singapore</t>
  </si>
  <si>
    <t>Togo</t>
  </si>
  <si>
    <t>Denmark</t>
  </si>
  <si>
    <t>Gambia, The</t>
  </si>
  <si>
    <t>Sweden</t>
  </si>
  <si>
    <t>Austria</t>
  </si>
  <si>
    <t>Kyrgyz Republic</t>
  </si>
  <si>
    <t>Grenada</t>
  </si>
  <si>
    <t>Brunei Darussalam</t>
  </si>
  <si>
    <t>Greece</t>
  </si>
  <si>
    <t>Uruguay</t>
  </si>
  <si>
    <t>Croatia</t>
  </si>
  <si>
    <t>Romania</t>
  </si>
  <si>
    <t>Central African Republic</t>
  </si>
  <si>
    <t>Algeria</t>
  </si>
  <si>
    <t>Yemen, Rep.</t>
  </si>
  <si>
    <t>Armenia</t>
  </si>
  <si>
    <t>St. Vincent and the Grenadines</t>
  </si>
  <si>
    <t>Kenya</t>
  </si>
  <si>
    <t>Micronesia, Fed. Sts.</t>
  </si>
  <si>
    <t>Antigua and Barbuda</t>
  </si>
  <si>
    <t>Nepal</t>
  </si>
  <si>
    <t>Lithuania</t>
  </si>
  <si>
    <t>Vanuatu</t>
  </si>
  <si>
    <t>Afghanistan</t>
  </si>
  <si>
    <t>Kuwait</t>
  </si>
  <si>
    <t>round squre</t>
  </si>
  <si>
    <t>ADVANCE EXCEL</t>
  </si>
  <si>
    <t>today</t>
  </si>
  <si>
    <t>EOMONTH</t>
  </si>
  <si>
    <t>net work</t>
  </si>
  <si>
    <t>weekday</t>
  </si>
  <si>
    <t>year</t>
  </si>
  <si>
    <t>month</t>
  </si>
  <si>
    <t>day</t>
  </si>
  <si>
    <t>TEXT FUNCTIONS</t>
  </si>
  <si>
    <t>replace</t>
  </si>
  <si>
    <t>mid</t>
  </si>
  <si>
    <t>find</t>
  </si>
  <si>
    <t xml:space="preserve">European </t>
  </si>
  <si>
    <t>search</t>
  </si>
  <si>
    <t>concatenate</t>
  </si>
  <si>
    <t>sub-new</t>
  </si>
  <si>
    <t>product</t>
  </si>
  <si>
    <t>fact</t>
  </si>
  <si>
    <t>mod</t>
  </si>
  <si>
    <t>roundup</t>
  </si>
  <si>
    <t>rounddown</t>
  </si>
  <si>
    <t>sumif</t>
  </si>
  <si>
    <t>mathsl function</t>
  </si>
  <si>
    <t>Date</t>
  </si>
  <si>
    <t>Product</t>
  </si>
  <si>
    <t>Color</t>
  </si>
  <si>
    <t>Value</t>
  </si>
  <si>
    <t>Laptop</t>
  </si>
  <si>
    <t>Black</t>
  </si>
  <si>
    <t>South</t>
  </si>
  <si>
    <t>Mobile</t>
  </si>
  <si>
    <t>Blue</t>
  </si>
  <si>
    <t>North</t>
  </si>
  <si>
    <t>Tablet</t>
  </si>
  <si>
    <t>White</t>
  </si>
  <si>
    <t>East</t>
  </si>
  <si>
    <t>Red</t>
  </si>
  <si>
    <t>West</t>
  </si>
  <si>
    <t>total</t>
  </si>
  <si>
    <t>red</t>
  </si>
  <si>
    <t>Black+soutn</t>
  </si>
  <si>
    <t>laptop+black+south</t>
  </si>
  <si>
    <t>sumifs</t>
  </si>
  <si>
    <t>avg</t>
  </si>
  <si>
    <t>avgif</t>
  </si>
  <si>
    <t>blue</t>
  </si>
  <si>
    <t>avgifs</t>
  </si>
  <si>
    <t>white+east</t>
  </si>
  <si>
    <t>blue+mobile+north</t>
  </si>
  <si>
    <t>round-product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</si>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</sst>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  <xf numFmtId="0" fontId="2" fillId="4" borderId="0" applyNumberFormat="0" applyBorder="0" applyAlignment="0" applyProtection="0"/>
  </cellStyleXfs>
  <cellXfs count="25">
    <xf numFmtId="0" fontId="0" fillId="0" borderId="0" xfId="0"/>
    <xf numFmtId="0" fontId="1" fillId="0" borderId="0" xfId="0" applyFont="1"/>
    <xf numFmtId="14" fontId="0" fillId="0" borderId="0" xfId="0" applyNumberFormat="1"/>
    <xf numFmtId="0" fontId="7" fillId="0" borderId="0" xfId="0" applyFont="1"/>
    <xf numFmtId="0" fontId="6" fillId="5" borderId="0" xfId="0" applyFont="1" applyFill="1"/>
    <xf numFmtId="0" fontId="0" fillId="0" borderId="0" xfId="0" applyFill="1"/>
    <xf numFmtId="0" fontId="5" fillId="0" borderId="0" xfId="0" applyFont="1" applyFill="1"/>
    <xf numFmtId="0" fontId="6" fillId="6" borderId="0" xfId="0" applyFont="1" applyFill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3" fillId="2" borderId="0" xfId="1" applyAlignment="1">
      <alignment vertical="center" wrapText="1"/>
    </xf>
    <xf numFmtId="0" fontId="4" fillId="3" borderId="1" xfId="2" applyAlignment="1">
      <alignment vertical="center" wrapText="1"/>
    </xf>
    <xf numFmtId="0" fontId="2" fillId="4" borderId="0" xfId="3" applyAlignment="1">
      <alignment vertical="center" wrapText="1"/>
    </xf>
    <xf numFmtId="0" fontId="0" fillId="7" borderId="0" xfId="0" applyFill="1"/>
    <xf numFmtId="0" fontId="0" fillId="8" borderId="0" xfId="0" applyFill="1"/>
    <xf numFmtId="0" fontId="0" fillId="9" borderId="0" xfId="0" applyFill="1" applyBorder="1" applyAlignment="1">
      <alignment vertical="center" wrapText="1"/>
    </xf>
    <xf numFmtId="0" fontId="0" fillId="10" borderId="0" xfId="0" applyFill="1"/>
    <xf numFmtId="0" fontId="0" fillId="11" borderId="0" xfId="0" applyFill="1"/>
    <xf numFmtId="0" fontId="5" fillId="12" borderId="0" xfId="0" applyFont="1" applyFill="1"/>
    <xf numFmtId="14" fontId="0" fillId="10" borderId="0" xfId="0" applyNumberFormat="1" applyFont="1" applyFill="1"/>
    <xf numFmtId="0" fontId="0" fillId="10" borderId="0" xfId="0" applyFont="1" applyFill="1"/>
    <xf numFmtId="0" fontId="0" fillId="9" borderId="0" xfId="0" applyFill="1"/>
    <xf numFmtId="0" fontId="5" fillId="13" borderId="0" xfId="0" applyFont="1" applyFill="1"/>
    <xf numFmtId="0" fontId="5" fillId="14" borderId="0" xfId="0" applyFont="1" applyFill="1" applyAlignment="1">
      <alignment horizontal="center" vertical="center" wrapText="1"/>
    </xf>
    <xf numFmtId="0" fontId="0" fillId="15" borderId="0" xfId="0" applyFill="1"/>
  </cellXfs>
  <cellStyles count="4">
    <cellStyle name="60% - Accent1" xfId="3" builtinId="32"/>
    <cellStyle name="Bad" xfId="1" builtinId="27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B985-C9A3-4AEC-B746-39BD1860B523}">
  <dimension ref="A1:AA75"/>
  <sheetViews>
    <sheetView tabSelected="1" topLeftCell="D30" zoomScaleNormal="100" workbookViewId="0">
      <selection activeCell="W54" sqref="W54"/>
    </sheetView>
  </sheetViews>
  <sheetFormatPr defaultRowHeight="15" x14ac:dyDescent="0.25"/>
  <cols>
    <col min="7" max="7" width="15" customWidth="1"/>
    <col min="12" max="12" width="10.5703125" customWidth="1"/>
    <col min="16" max="17" width="13" customWidth="1"/>
    <col min="18" max="18" width="15" customWidth="1"/>
    <col min="19" max="19" width="12.28515625" customWidth="1"/>
    <col min="20" max="20" width="10.7109375" customWidth="1"/>
    <col min="21" max="21" width="12" customWidth="1"/>
    <col min="22" max="22" width="11.85546875" customWidth="1"/>
    <col min="23" max="23" width="10.85546875" customWidth="1"/>
    <col min="24" max="24" width="16.42578125" customWidth="1"/>
    <col min="25" max="25" width="8.85546875" customWidth="1"/>
    <col min="26" max="27" width="11.140625" customWidth="1"/>
  </cols>
  <sheetData>
    <row r="1" spans="1:2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/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80</v>
      </c>
      <c r="S1" s="1"/>
      <c r="T1" s="3" t="s">
        <v>81</v>
      </c>
      <c r="X1" s="4" t="s">
        <v>89</v>
      </c>
    </row>
    <row r="2" spans="1:25" x14ac:dyDescent="0.25">
      <c r="A2" t="s">
        <v>34</v>
      </c>
      <c r="B2" t="s">
        <v>14</v>
      </c>
      <c r="C2">
        <v>2015</v>
      </c>
      <c r="D2">
        <v>11.1</v>
      </c>
      <c r="E2">
        <v>13</v>
      </c>
      <c r="F2">
        <v>105.824</v>
      </c>
      <c r="G2">
        <v>27.8</v>
      </c>
      <c r="H2">
        <v>76.5</v>
      </c>
      <c r="J2">
        <f t="shared" ref="J2:J33" si="0">ROUND(F2,2)</f>
        <v>105.82</v>
      </c>
      <c r="K2">
        <f t="shared" ref="K2:K33" si="1">SQRT(E2)</f>
        <v>3.6055512754639891</v>
      </c>
      <c r="L2" t="e">
        <f>LEFT(#REF!,3)</f>
        <v>#REF!</v>
      </c>
      <c r="M2" t="str">
        <f t="shared" ref="M2:M33" si="2">RIGHT(B2,3)</f>
        <v>ast</v>
      </c>
      <c r="N2">
        <f t="shared" ref="N2:N33" si="3">RANK(G2,G:G,1)</f>
        <v>63</v>
      </c>
      <c r="O2" t="e">
        <f>LEN(#REF!)</f>
        <v>#REF!</v>
      </c>
      <c r="P2">
        <f>ROUND(SQRT(K2),1)</f>
        <v>1.9</v>
      </c>
      <c r="T2" s="18" t="s">
        <v>82</v>
      </c>
      <c r="U2" s="19">
        <f ca="1">TODAY()</f>
        <v>46174</v>
      </c>
      <c r="W2" s="2"/>
      <c r="X2" s="21" t="s">
        <v>92</v>
      </c>
      <c r="Y2" s="21" t="s">
        <v>90</v>
      </c>
    </row>
    <row r="3" spans="1:25" x14ac:dyDescent="0.25">
      <c r="A3" t="s">
        <v>16</v>
      </c>
      <c r="B3" t="s">
        <v>15</v>
      </c>
      <c r="C3">
        <v>2015</v>
      </c>
      <c r="D3">
        <v>2.7</v>
      </c>
      <c r="E3">
        <v>3.3</v>
      </c>
      <c r="F3">
        <v>57.902500000000003</v>
      </c>
      <c r="G3">
        <v>26</v>
      </c>
      <c r="H3">
        <v>82.8</v>
      </c>
      <c r="J3">
        <f t="shared" si="0"/>
        <v>57.9</v>
      </c>
      <c r="K3">
        <f t="shared" si="1"/>
        <v>1.8165902124584949</v>
      </c>
      <c r="L3" t="e">
        <f>LEFT(#REF!,3)</f>
        <v>#REF!</v>
      </c>
      <c r="M3" t="str">
        <f t="shared" si="2"/>
        <v>ion</v>
      </c>
      <c r="N3">
        <f t="shared" si="3"/>
        <v>40</v>
      </c>
      <c r="O3" t="e">
        <f>LEN(#REF!)</f>
        <v>#REF!</v>
      </c>
      <c r="P3">
        <f>ROUND(SQRT(E3),1)</f>
        <v>1.8</v>
      </c>
      <c r="Q3" s="16" t="s">
        <v>18</v>
      </c>
      <c r="R3" s="17">
        <f>MIN(F:F)</f>
        <v>52.393000000000001</v>
      </c>
      <c r="T3" s="18" t="s">
        <v>83</v>
      </c>
      <c r="U3" s="19">
        <f ca="1">EOMONTH(TODAY(),4)</f>
        <v>46326</v>
      </c>
      <c r="W3" t="s">
        <v>34</v>
      </c>
      <c r="X3" cm="1">
        <f t="array" ref="X3:X13">FIND("i",W3:W13,1)</f>
        <v>4</v>
      </c>
      <c r="Y3" t="str" cm="1">
        <f t="array" ref="Y3:Y13">REPLACE(W3:W13,2,3,"abc")</f>
        <v>Aabcca</v>
      </c>
    </row>
    <row r="4" spans="1:25" x14ac:dyDescent="0.25">
      <c r="A4" t="s">
        <v>34</v>
      </c>
      <c r="B4" t="s">
        <v>16</v>
      </c>
      <c r="C4">
        <v>2007</v>
      </c>
      <c r="D4">
        <v>51.5</v>
      </c>
      <c r="E4">
        <v>67.900000000000006</v>
      </c>
      <c r="F4">
        <v>201.07650000000001</v>
      </c>
      <c r="G4">
        <v>21.2</v>
      </c>
      <c r="H4">
        <v>65.400000000000006</v>
      </c>
      <c r="J4">
        <f t="shared" si="0"/>
        <v>201.08</v>
      </c>
      <c r="K4">
        <f t="shared" si="1"/>
        <v>8.2401456297810665</v>
      </c>
      <c r="L4" t="e">
        <f>LEFT(#REF!,3)</f>
        <v>#REF!</v>
      </c>
      <c r="M4" t="str">
        <f t="shared" si="2"/>
        <v>sia</v>
      </c>
      <c r="N4">
        <f t="shared" si="3"/>
        <v>4</v>
      </c>
      <c r="O4" t="e">
        <f>LEN(#REF!)</f>
        <v>#REF!</v>
      </c>
      <c r="P4">
        <f t="shared" ref="P4:P67" si="4">ROUND(SQRT(E4),1)</f>
        <v>8.1999999999999993</v>
      </c>
      <c r="Q4" s="16" t="s">
        <v>19</v>
      </c>
      <c r="R4" s="17">
        <f>MAX(F:F)</f>
        <v>686.63900000000001</v>
      </c>
      <c r="T4" s="18" t="s">
        <v>84</v>
      </c>
      <c r="U4" s="20">
        <f ca="1">NETWORKDAYS(TODAY()+2,TODAY()+5)</f>
        <v>3</v>
      </c>
      <c r="W4" t="s">
        <v>16</v>
      </c>
      <c r="X4">
        <v>3</v>
      </c>
      <c r="Y4" t="str">
        <v>Aabc</v>
      </c>
    </row>
    <row r="5" spans="1:25" x14ac:dyDescent="0.25">
      <c r="A5" t="s">
        <v>34</v>
      </c>
      <c r="B5" t="s">
        <v>17</v>
      </c>
      <c r="C5">
        <v>2006</v>
      </c>
      <c r="D5">
        <v>32.799999999999997</v>
      </c>
      <c r="E5">
        <v>40.5</v>
      </c>
      <c r="F5">
        <v>222.19649999999999</v>
      </c>
      <c r="G5">
        <v>25.3</v>
      </c>
      <c r="H5">
        <v>67</v>
      </c>
      <c r="J5">
        <f t="shared" si="0"/>
        <v>222.2</v>
      </c>
      <c r="K5">
        <f t="shared" si="1"/>
        <v>6.3639610306789276</v>
      </c>
      <c r="L5" t="e">
        <f>LEFT(#REF!,3)</f>
        <v>#REF!</v>
      </c>
      <c r="M5" t="str">
        <f t="shared" si="2"/>
        <v>ica</v>
      </c>
      <c r="N5">
        <f t="shared" si="3"/>
        <v>26</v>
      </c>
      <c r="O5" t="e">
        <f>LEN(#REF!)</f>
        <v>#REF!</v>
      </c>
      <c r="P5">
        <f t="shared" si="4"/>
        <v>6.4</v>
      </c>
      <c r="Q5" s="16" t="s">
        <v>22</v>
      </c>
      <c r="R5" s="17">
        <f>SUM(G:G)</f>
        <v>1825.3000000000004</v>
      </c>
      <c r="T5" s="18" t="s">
        <v>85</v>
      </c>
      <c r="U5" s="20">
        <f ca="1">WEEKDAY(TODAY()+2,2)</f>
        <v>3</v>
      </c>
      <c r="W5" t="s">
        <v>34</v>
      </c>
      <c r="X5">
        <v>4</v>
      </c>
      <c r="Y5" t="str">
        <v>Aabcca</v>
      </c>
    </row>
    <row r="6" spans="1:25" x14ac:dyDescent="0.25">
      <c r="A6" t="s">
        <v>16</v>
      </c>
      <c r="B6" t="s">
        <v>14</v>
      </c>
      <c r="C6">
        <v>2012</v>
      </c>
      <c r="D6">
        <v>3.4</v>
      </c>
      <c r="E6">
        <v>4.3</v>
      </c>
      <c r="F6">
        <v>57.951000000000001</v>
      </c>
      <c r="G6">
        <v>27</v>
      </c>
      <c r="H6">
        <v>81.7</v>
      </c>
      <c r="J6">
        <f t="shared" si="0"/>
        <v>57.95</v>
      </c>
      <c r="K6">
        <f t="shared" si="1"/>
        <v>2.0736441353327719</v>
      </c>
      <c r="L6" t="e">
        <f>LEFT(#REF!,3)</f>
        <v>#REF!</v>
      </c>
      <c r="M6" t="str">
        <f t="shared" si="2"/>
        <v>ast</v>
      </c>
      <c r="N6">
        <f t="shared" si="3"/>
        <v>58</v>
      </c>
      <c r="O6" t="e">
        <f>LEN(#REF!)</f>
        <v>#REF!</v>
      </c>
      <c r="P6">
        <f t="shared" si="4"/>
        <v>2.1</v>
      </c>
      <c r="Q6" s="16" t="s">
        <v>24</v>
      </c>
      <c r="R6" s="17">
        <f>AVERAGE(G:G)</f>
        <v>25.351388888888895</v>
      </c>
      <c r="T6" s="18" t="s">
        <v>86</v>
      </c>
      <c r="U6" s="20">
        <f ca="1">YEAR(TODAY())</f>
        <v>2026</v>
      </c>
      <c r="W6" t="s">
        <v>34</v>
      </c>
      <c r="X6">
        <v>4</v>
      </c>
      <c r="Y6" t="str">
        <v>Aabcca</v>
      </c>
    </row>
    <row r="7" spans="1:25" x14ac:dyDescent="0.25">
      <c r="A7" t="s">
        <v>34</v>
      </c>
      <c r="B7" t="s">
        <v>21</v>
      </c>
      <c r="C7">
        <v>2006</v>
      </c>
      <c r="D7">
        <v>9.8000000000000007</v>
      </c>
      <c r="E7">
        <v>11.2</v>
      </c>
      <c r="F7">
        <v>95.22</v>
      </c>
      <c r="G7">
        <v>26.4</v>
      </c>
      <c r="H7">
        <v>78.2</v>
      </c>
      <c r="J7">
        <f t="shared" si="0"/>
        <v>95.22</v>
      </c>
      <c r="K7">
        <f t="shared" si="1"/>
        <v>3.3466401061363023</v>
      </c>
      <c r="L7" t="e">
        <f>LEFT(#REF!,3)</f>
        <v>#REF!</v>
      </c>
      <c r="M7" t="str">
        <f t="shared" si="2"/>
        <v>ean</v>
      </c>
      <c r="N7">
        <f t="shared" si="3"/>
        <v>52</v>
      </c>
      <c r="O7" t="e">
        <f>LEN(#REF!)</f>
        <v>#REF!</v>
      </c>
      <c r="P7">
        <f t="shared" si="4"/>
        <v>3.3</v>
      </c>
      <c r="Q7" s="16" t="s">
        <v>25</v>
      </c>
      <c r="R7" s="17">
        <f>MEDIAN(G:G)</f>
        <v>25.8</v>
      </c>
      <c r="T7" s="18" t="s">
        <v>87</v>
      </c>
      <c r="U7" s="20">
        <f ca="1">MONTH(TODAY()+35)</f>
        <v>7</v>
      </c>
      <c r="W7" t="s">
        <v>16</v>
      </c>
      <c r="X7">
        <v>3</v>
      </c>
      <c r="Y7" t="str">
        <v>Aabc</v>
      </c>
    </row>
    <row r="8" spans="1:25" x14ac:dyDescent="0.25">
      <c r="A8" t="s">
        <v>34</v>
      </c>
      <c r="B8" t="s">
        <v>23</v>
      </c>
      <c r="C8">
        <v>2015</v>
      </c>
      <c r="D8">
        <v>6.6</v>
      </c>
      <c r="E8">
        <v>8.1999999999999993</v>
      </c>
      <c r="F8">
        <v>223</v>
      </c>
      <c r="G8">
        <v>26.2</v>
      </c>
      <c r="H8">
        <v>71.2</v>
      </c>
      <c r="J8">
        <f t="shared" si="0"/>
        <v>223</v>
      </c>
      <c r="K8">
        <f t="shared" si="1"/>
        <v>2.8635642126552705</v>
      </c>
      <c r="L8" t="e">
        <f>LEFT(#REF!,3)</f>
        <v>#REF!</v>
      </c>
      <c r="M8" t="str">
        <f t="shared" si="2"/>
        <v>ope</v>
      </c>
      <c r="N8">
        <f t="shared" si="3"/>
        <v>46</v>
      </c>
      <c r="O8" t="e">
        <f>LEN(#REF!)</f>
        <v>#REF!</v>
      </c>
      <c r="P8">
        <f t="shared" si="4"/>
        <v>2.9</v>
      </c>
      <c r="T8" s="18" t="s">
        <v>88</v>
      </c>
      <c r="U8" s="20">
        <f ca="1">DAY(TODAY()+5)</f>
        <v>6</v>
      </c>
      <c r="W8" t="s">
        <v>34</v>
      </c>
      <c r="X8">
        <v>4</v>
      </c>
      <c r="Y8" t="str">
        <v>Aabcca</v>
      </c>
    </row>
    <row r="9" spans="1:25" x14ac:dyDescent="0.25">
      <c r="A9" t="s">
        <v>93</v>
      </c>
      <c r="B9" t="s">
        <v>15</v>
      </c>
      <c r="C9">
        <v>2000</v>
      </c>
      <c r="D9">
        <v>8.6999999999999993</v>
      </c>
      <c r="E9">
        <v>10.1</v>
      </c>
      <c r="F9">
        <v>192.96899999999999</v>
      </c>
      <c r="G9">
        <v>25.9</v>
      </c>
      <c r="H9">
        <v>71.2</v>
      </c>
      <c r="J9">
        <f t="shared" si="0"/>
        <v>192.97</v>
      </c>
      <c r="K9">
        <f t="shared" si="1"/>
        <v>3.1780497164141406</v>
      </c>
      <c r="L9" t="e">
        <f>LEFT(#REF!,3)</f>
        <v>#REF!</v>
      </c>
      <c r="M9" t="str">
        <f t="shared" si="2"/>
        <v>ion</v>
      </c>
      <c r="N9">
        <f t="shared" si="3"/>
        <v>39</v>
      </c>
      <c r="O9" t="e">
        <f>LEN(#REF!)</f>
        <v>#REF!</v>
      </c>
      <c r="P9">
        <f t="shared" si="4"/>
        <v>3.2</v>
      </c>
      <c r="W9" t="s">
        <v>34</v>
      </c>
      <c r="X9">
        <v>4</v>
      </c>
      <c r="Y9" t="str">
        <v>Aabcca</v>
      </c>
    </row>
    <row r="10" spans="1:25" x14ac:dyDescent="0.25">
      <c r="A10" t="s">
        <v>16</v>
      </c>
      <c r="B10" t="s">
        <v>14</v>
      </c>
      <c r="C10">
        <v>2001</v>
      </c>
      <c r="D10">
        <v>22</v>
      </c>
      <c r="E10">
        <v>26.1</v>
      </c>
      <c r="F10">
        <v>129.76400000000001</v>
      </c>
      <c r="G10">
        <v>27.9</v>
      </c>
      <c r="H10">
        <v>71.900000000000006</v>
      </c>
      <c r="J10">
        <f t="shared" si="0"/>
        <v>129.76</v>
      </c>
      <c r="K10">
        <f t="shared" si="1"/>
        <v>5.1088159097779204</v>
      </c>
      <c r="L10" t="e">
        <f>LEFT(#REF!,3)</f>
        <v>#REF!</v>
      </c>
      <c r="M10" t="str">
        <f t="shared" si="2"/>
        <v>ast</v>
      </c>
      <c r="N10">
        <f t="shared" si="3"/>
        <v>64</v>
      </c>
      <c r="O10" t="e">
        <f>LEN(#REF!)</f>
        <v>#REF!</v>
      </c>
      <c r="P10">
        <f t="shared" si="4"/>
        <v>5.0999999999999996</v>
      </c>
      <c r="W10" t="s">
        <v>93</v>
      </c>
      <c r="X10" t="e">
        <v>#VALUE!</v>
      </c>
      <c r="Y10" t="str">
        <v xml:space="preserve">Eabcpean </v>
      </c>
    </row>
    <row r="11" spans="1:25" x14ac:dyDescent="0.25">
      <c r="A11" t="s">
        <v>16</v>
      </c>
      <c r="B11" t="s">
        <v>23</v>
      </c>
      <c r="C11">
        <v>2008</v>
      </c>
      <c r="D11">
        <v>15.3</v>
      </c>
      <c r="E11">
        <v>17.8</v>
      </c>
      <c r="F11">
        <v>217.857</v>
      </c>
      <c r="G11">
        <v>26.5</v>
      </c>
      <c r="H11">
        <v>68.7</v>
      </c>
      <c r="J11">
        <f t="shared" si="0"/>
        <v>217.86</v>
      </c>
      <c r="K11">
        <f t="shared" si="1"/>
        <v>4.2190046219457971</v>
      </c>
      <c r="L11" t="e">
        <f>LEFT(#REF!,3)</f>
        <v>#REF!</v>
      </c>
      <c r="M11" t="str">
        <f t="shared" si="2"/>
        <v>ope</v>
      </c>
      <c r="N11">
        <f t="shared" si="3"/>
        <v>55</v>
      </c>
      <c r="O11" t="e">
        <f>LEN(#REF!)</f>
        <v>#REF!</v>
      </c>
      <c r="P11">
        <f t="shared" si="4"/>
        <v>4.2</v>
      </c>
      <c r="W11" t="s">
        <v>16</v>
      </c>
      <c r="X11">
        <v>3</v>
      </c>
      <c r="Y11" t="str">
        <v>Aabc</v>
      </c>
    </row>
    <row r="12" spans="1:25" x14ac:dyDescent="0.25">
      <c r="A12" t="s">
        <v>34</v>
      </c>
      <c r="B12" t="s">
        <v>17</v>
      </c>
      <c r="C12">
        <v>2012</v>
      </c>
      <c r="D12">
        <v>15.4</v>
      </c>
      <c r="E12">
        <v>17.2</v>
      </c>
      <c r="F12">
        <v>150.22450000000001</v>
      </c>
      <c r="G12">
        <v>26.1</v>
      </c>
      <c r="H12">
        <v>74.2</v>
      </c>
      <c r="J12">
        <f t="shared" si="0"/>
        <v>150.22</v>
      </c>
      <c r="K12">
        <f t="shared" si="1"/>
        <v>4.1472882706655438</v>
      </c>
      <c r="L12" t="e">
        <f>LEFT(#REF!,3)</f>
        <v>#REF!</v>
      </c>
      <c r="M12" t="str">
        <f t="shared" si="2"/>
        <v>ica</v>
      </c>
      <c r="N12">
        <f t="shared" si="3"/>
        <v>44</v>
      </c>
      <c r="O12" t="e">
        <f>LEN(#REF!)</f>
        <v>#REF!</v>
      </c>
      <c r="P12">
        <f t="shared" si="4"/>
        <v>4.0999999999999996</v>
      </c>
      <c r="W12" t="s">
        <v>16</v>
      </c>
      <c r="X12">
        <v>3</v>
      </c>
      <c r="Y12" t="str">
        <v>Aabc</v>
      </c>
    </row>
    <row r="13" spans="1:25" x14ac:dyDescent="0.25">
      <c r="A13" t="s">
        <v>27</v>
      </c>
      <c r="B13" t="s">
        <v>15</v>
      </c>
      <c r="C13">
        <v>2007</v>
      </c>
      <c r="D13">
        <v>6</v>
      </c>
      <c r="E13">
        <v>6.8</v>
      </c>
      <c r="F13">
        <v>58.018500000000003</v>
      </c>
      <c r="G13">
        <v>27.1</v>
      </c>
      <c r="H13">
        <v>79.8</v>
      </c>
      <c r="J13">
        <f t="shared" si="0"/>
        <v>58.02</v>
      </c>
      <c r="K13">
        <f t="shared" si="1"/>
        <v>2.6076809620810595</v>
      </c>
      <c r="L13" t="str">
        <f t="shared" ref="L13:L33" si="5">LEFT(A13,3)</f>
        <v>Mal</v>
      </c>
      <c r="M13" t="str">
        <f t="shared" si="2"/>
        <v>ion</v>
      </c>
      <c r="N13">
        <f t="shared" si="3"/>
        <v>60</v>
      </c>
      <c r="O13">
        <f t="shared" ref="O13:O33" si="6">LEN(A13)</f>
        <v>5</v>
      </c>
      <c r="P13">
        <f t="shared" si="4"/>
        <v>2.6</v>
      </c>
      <c r="W13" t="s">
        <v>34</v>
      </c>
      <c r="X13">
        <v>4</v>
      </c>
      <c r="Y13" t="str">
        <v>Aabcca</v>
      </c>
    </row>
    <row r="14" spans="1:25" x14ac:dyDescent="0.25">
      <c r="A14" t="s">
        <v>28</v>
      </c>
      <c r="B14" t="s">
        <v>21</v>
      </c>
      <c r="C14">
        <v>2011</v>
      </c>
      <c r="D14">
        <v>13</v>
      </c>
      <c r="E14">
        <v>15.2</v>
      </c>
      <c r="F14">
        <v>165.53800000000001</v>
      </c>
      <c r="G14">
        <v>27.6</v>
      </c>
      <c r="H14">
        <v>72.3</v>
      </c>
      <c r="J14">
        <f t="shared" si="0"/>
        <v>165.54</v>
      </c>
      <c r="K14">
        <f t="shared" si="1"/>
        <v>3.8987177379235853</v>
      </c>
      <c r="L14" t="str">
        <f t="shared" si="5"/>
        <v>Bah</v>
      </c>
      <c r="M14" t="str">
        <f t="shared" si="2"/>
        <v>ean</v>
      </c>
      <c r="N14">
        <f t="shared" si="3"/>
        <v>62</v>
      </c>
      <c r="O14">
        <f t="shared" si="6"/>
        <v>12</v>
      </c>
      <c r="P14">
        <f t="shared" si="4"/>
        <v>3.9</v>
      </c>
      <c r="R14" s="4" t="s">
        <v>89</v>
      </c>
    </row>
    <row r="15" spans="1:25" x14ac:dyDescent="0.25">
      <c r="A15" t="s">
        <v>29</v>
      </c>
      <c r="B15" t="s">
        <v>23</v>
      </c>
      <c r="C15">
        <v>2002</v>
      </c>
      <c r="D15">
        <v>14.3</v>
      </c>
      <c r="E15">
        <v>16.600000000000001</v>
      </c>
      <c r="F15">
        <v>261.60950000000003</v>
      </c>
      <c r="G15">
        <v>25.8</v>
      </c>
      <c r="H15">
        <v>68.3</v>
      </c>
      <c r="J15">
        <f t="shared" si="0"/>
        <v>261.61</v>
      </c>
      <c r="K15">
        <f t="shared" si="1"/>
        <v>4.0743097574926725</v>
      </c>
      <c r="L15" t="str">
        <f t="shared" si="5"/>
        <v>Ukr</v>
      </c>
      <c r="M15" t="str">
        <f t="shared" si="2"/>
        <v>ope</v>
      </c>
      <c r="N15">
        <f t="shared" si="3"/>
        <v>33</v>
      </c>
      <c r="O15">
        <f t="shared" si="6"/>
        <v>7</v>
      </c>
      <c r="P15">
        <f t="shared" si="4"/>
        <v>4.0999999999999996</v>
      </c>
      <c r="S15" s="5"/>
      <c r="T15" s="22" t="s">
        <v>96</v>
      </c>
      <c r="U15" s="22" t="s">
        <v>91</v>
      </c>
      <c r="V15" s="22" t="s">
        <v>94</v>
      </c>
      <c r="W15" s="22" t="s">
        <v>95</v>
      </c>
    </row>
    <row r="16" spans="1:25" x14ac:dyDescent="0.25">
      <c r="A16" t="s">
        <v>30</v>
      </c>
      <c r="B16" t="s">
        <v>23</v>
      </c>
      <c r="C16">
        <v>2006</v>
      </c>
      <c r="D16">
        <v>4.2</v>
      </c>
      <c r="E16">
        <v>4.9000000000000004</v>
      </c>
      <c r="F16">
        <v>63.243499999999997</v>
      </c>
      <c r="G16">
        <v>25</v>
      </c>
      <c r="H16">
        <v>81.5</v>
      </c>
      <c r="J16">
        <f t="shared" si="0"/>
        <v>63.24</v>
      </c>
      <c r="K16">
        <f t="shared" si="1"/>
        <v>2.2135943621178655</v>
      </c>
      <c r="L16" t="str">
        <f t="shared" si="5"/>
        <v>Swi</v>
      </c>
      <c r="M16" t="str">
        <f t="shared" si="2"/>
        <v>ope</v>
      </c>
      <c r="N16">
        <f t="shared" si="3"/>
        <v>24</v>
      </c>
      <c r="O16">
        <f t="shared" si="6"/>
        <v>11</v>
      </c>
      <c r="P16">
        <f t="shared" si="4"/>
        <v>2.2000000000000002</v>
      </c>
      <c r="S16" t="s">
        <v>34</v>
      </c>
      <c r="T16" t="str" cm="1">
        <f t="array" ref="T16:T26">SUBSTITUTE(S16:S26,"Africa","abc")</f>
        <v>abc</v>
      </c>
      <c r="U16" t="str" cm="1">
        <f t="array" ref="U16:U26">MID(S16:S26,2,3)</f>
        <v>fri</v>
      </c>
      <c r="V16" cm="1">
        <f t="array" ref="V16:V26">SEARCH("a",S16:S26)</f>
        <v>1</v>
      </c>
      <c r="W16" t="str" cm="1">
        <f t="array" ref="W16:W26">CONCATENATE(S16:S26,_xlfn.ANCHORARRAY(U16))</f>
        <v>Africafri</v>
      </c>
    </row>
    <row r="17" spans="1:27" x14ac:dyDescent="0.25">
      <c r="A17" t="s">
        <v>31</v>
      </c>
      <c r="B17" t="s">
        <v>23</v>
      </c>
      <c r="C17">
        <v>2001</v>
      </c>
      <c r="D17">
        <v>3.8</v>
      </c>
      <c r="E17">
        <v>4.7</v>
      </c>
      <c r="F17">
        <v>80.495500000000007</v>
      </c>
      <c r="G17">
        <v>25.7</v>
      </c>
      <c r="H17">
        <v>78.8</v>
      </c>
      <c r="J17">
        <f t="shared" si="0"/>
        <v>80.5</v>
      </c>
      <c r="K17">
        <f t="shared" si="1"/>
        <v>2.16794833886788</v>
      </c>
      <c r="L17" t="str">
        <f t="shared" si="5"/>
        <v>Nor</v>
      </c>
      <c r="M17" t="str">
        <f t="shared" si="2"/>
        <v>ope</v>
      </c>
      <c r="N17">
        <f t="shared" si="3"/>
        <v>32</v>
      </c>
      <c r="O17">
        <f t="shared" si="6"/>
        <v>6</v>
      </c>
      <c r="P17">
        <f t="shared" si="4"/>
        <v>2.2000000000000002</v>
      </c>
      <c r="S17" t="s">
        <v>16</v>
      </c>
      <c r="T17" t="str">
        <v>Asia</v>
      </c>
      <c r="U17" t="str">
        <v>sia</v>
      </c>
      <c r="V17">
        <v>1</v>
      </c>
      <c r="W17" t="str">
        <v>Asiasia</v>
      </c>
    </row>
    <row r="18" spans="1:27" x14ac:dyDescent="0.25">
      <c r="A18" t="s">
        <v>32</v>
      </c>
      <c r="B18" t="s">
        <v>15</v>
      </c>
      <c r="C18">
        <v>2013</v>
      </c>
      <c r="D18">
        <v>2.2000000000000002</v>
      </c>
      <c r="E18">
        <v>2.7</v>
      </c>
      <c r="F18">
        <v>76.566999999999993</v>
      </c>
      <c r="G18">
        <v>26</v>
      </c>
      <c r="H18">
        <v>81</v>
      </c>
      <c r="J18">
        <f t="shared" si="0"/>
        <v>76.569999999999993</v>
      </c>
      <c r="K18">
        <f t="shared" si="1"/>
        <v>1.6431676725154984</v>
      </c>
      <c r="L18" t="str">
        <f t="shared" si="5"/>
        <v>Fin</v>
      </c>
      <c r="M18" t="str">
        <f t="shared" si="2"/>
        <v>ion</v>
      </c>
      <c r="N18">
        <f t="shared" si="3"/>
        <v>40</v>
      </c>
      <c r="O18">
        <f t="shared" si="6"/>
        <v>7</v>
      </c>
      <c r="P18">
        <f t="shared" si="4"/>
        <v>1.6</v>
      </c>
      <c r="S18" t="s">
        <v>34</v>
      </c>
      <c r="T18" t="str">
        <v>abc</v>
      </c>
      <c r="U18" t="str">
        <v>fri</v>
      </c>
      <c r="V18">
        <v>1</v>
      </c>
      <c r="W18" t="str">
        <v>Africafri</v>
      </c>
    </row>
    <row r="19" spans="1:27" x14ac:dyDescent="0.25">
      <c r="A19" t="s">
        <v>33</v>
      </c>
      <c r="B19" t="s">
        <v>34</v>
      </c>
      <c r="C19">
        <v>2007</v>
      </c>
      <c r="D19">
        <v>66.8</v>
      </c>
      <c r="E19">
        <v>91.9</v>
      </c>
      <c r="F19">
        <v>255.88149999999999</v>
      </c>
      <c r="G19">
        <v>23.5</v>
      </c>
      <c r="H19">
        <v>60.7</v>
      </c>
      <c r="J19">
        <f t="shared" si="0"/>
        <v>255.88</v>
      </c>
      <c r="K19">
        <f t="shared" si="1"/>
        <v>9.5864487689654929</v>
      </c>
      <c r="L19" t="str">
        <f t="shared" si="5"/>
        <v>Com</v>
      </c>
      <c r="M19" t="str">
        <f t="shared" si="2"/>
        <v>ica</v>
      </c>
      <c r="N19">
        <f t="shared" si="3"/>
        <v>17</v>
      </c>
      <c r="O19">
        <f t="shared" si="6"/>
        <v>7</v>
      </c>
      <c r="P19">
        <f t="shared" si="4"/>
        <v>9.6</v>
      </c>
      <c r="S19" t="s">
        <v>34</v>
      </c>
      <c r="T19" t="str">
        <v>abc</v>
      </c>
      <c r="U19" t="str">
        <v>fri</v>
      </c>
      <c r="V19">
        <v>1</v>
      </c>
      <c r="W19" t="str">
        <v>Africafri</v>
      </c>
    </row>
    <row r="20" spans="1:27" x14ac:dyDescent="0.25">
      <c r="A20" t="s">
        <v>35</v>
      </c>
      <c r="B20" t="s">
        <v>16</v>
      </c>
      <c r="C20">
        <v>2005</v>
      </c>
      <c r="D20">
        <v>2.8</v>
      </c>
      <c r="E20">
        <v>3.7</v>
      </c>
      <c r="F20">
        <v>68.768000000000001</v>
      </c>
      <c r="G20">
        <v>22.6</v>
      </c>
      <c r="H20">
        <v>81.900000000000006</v>
      </c>
      <c r="J20">
        <f t="shared" si="0"/>
        <v>68.77</v>
      </c>
      <c r="K20">
        <f t="shared" si="1"/>
        <v>1.9235384061671346</v>
      </c>
      <c r="L20" t="str">
        <f t="shared" si="5"/>
        <v>Jap</v>
      </c>
      <c r="M20" t="str">
        <f t="shared" si="2"/>
        <v>sia</v>
      </c>
      <c r="N20">
        <f t="shared" si="3"/>
        <v>10</v>
      </c>
      <c r="O20">
        <f t="shared" si="6"/>
        <v>5</v>
      </c>
      <c r="P20">
        <f t="shared" si="4"/>
        <v>1.9</v>
      </c>
      <c r="S20" t="s">
        <v>16</v>
      </c>
      <c r="T20" t="str">
        <v>Asia</v>
      </c>
      <c r="U20" t="str">
        <v>sia</v>
      </c>
      <c r="V20">
        <v>1</v>
      </c>
      <c r="W20" t="str">
        <v>Asiasia</v>
      </c>
    </row>
    <row r="21" spans="1:27" x14ac:dyDescent="0.25">
      <c r="A21" t="s">
        <v>36</v>
      </c>
      <c r="B21" t="s">
        <v>34</v>
      </c>
      <c r="C21">
        <v>2012</v>
      </c>
      <c r="D21">
        <v>39.1</v>
      </c>
      <c r="E21">
        <v>57.1</v>
      </c>
      <c r="F21">
        <v>256.88</v>
      </c>
      <c r="G21">
        <v>24.9</v>
      </c>
      <c r="H21">
        <v>62.9</v>
      </c>
      <c r="J21">
        <f t="shared" si="0"/>
        <v>256.88</v>
      </c>
      <c r="K21">
        <f t="shared" si="1"/>
        <v>7.556454194925025</v>
      </c>
      <c r="L21" t="str">
        <f t="shared" si="5"/>
        <v>Gab</v>
      </c>
      <c r="M21" t="str">
        <f t="shared" si="2"/>
        <v>ica</v>
      </c>
      <c r="N21">
        <f t="shared" si="3"/>
        <v>23</v>
      </c>
      <c r="O21">
        <f t="shared" si="6"/>
        <v>5</v>
      </c>
      <c r="P21">
        <f t="shared" si="4"/>
        <v>7.6</v>
      </c>
      <c r="S21" t="s">
        <v>34</v>
      </c>
      <c r="T21" t="str">
        <v>abc</v>
      </c>
      <c r="U21" t="str">
        <v>fri</v>
      </c>
      <c r="V21">
        <v>1</v>
      </c>
      <c r="W21" t="str">
        <v>Africafri</v>
      </c>
    </row>
    <row r="22" spans="1:27" x14ac:dyDescent="0.25">
      <c r="A22" t="s">
        <v>37</v>
      </c>
      <c r="B22" t="s">
        <v>34</v>
      </c>
      <c r="C22">
        <v>2011</v>
      </c>
      <c r="D22">
        <v>45.2</v>
      </c>
      <c r="E22">
        <v>65.900000000000006</v>
      </c>
      <c r="F22">
        <v>257.0865</v>
      </c>
      <c r="G22">
        <v>23.7</v>
      </c>
      <c r="H22">
        <v>61.4</v>
      </c>
      <c r="J22">
        <f t="shared" si="0"/>
        <v>257.08999999999997</v>
      </c>
      <c r="K22">
        <f t="shared" si="1"/>
        <v>8.1178814970409618</v>
      </c>
      <c r="L22" t="str">
        <f t="shared" si="5"/>
        <v>Gha</v>
      </c>
      <c r="M22" t="str">
        <f t="shared" si="2"/>
        <v>ica</v>
      </c>
      <c r="N22">
        <f t="shared" si="3"/>
        <v>20</v>
      </c>
      <c r="O22">
        <f t="shared" si="6"/>
        <v>5</v>
      </c>
      <c r="P22">
        <f t="shared" si="4"/>
        <v>8.1</v>
      </c>
      <c r="S22" t="s">
        <v>34</v>
      </c>
      <c r="T22" t="str">
        <v>abc</v>
      </c>
      <c r="U22" t="str">
        <v>fri</v>
      </c>
      <c r="V22">
        <v>1</v>
      </c>
      <c r="W22" t="str">
        <v>Africafri</v>
      </c>
    </row>
    <row r="23" spans="1:27" x14ac:dyDescent="0.25">
      <c r="A23" t="s">
        <v>38</v>
      </c>
      <c r="B23" t="s">
        <v>16</v>
      </c>
      <c r="C23">
        <v>2001</v>
      </c>
      <c r="D23">
        <v>28.2</v>
      </c>
      <c r="E23">
        <v>36.9</v>
      </c>
      <c r="F23">
        <v>214.26849999999999</v>
      </c>
      <c r="G23">
        <v>22.3</v>
      </c>
      <c r="H23">
        <v>68.8</v>
      </c>
      <c r="J23">
        <f t="shared" si="0"/>
        <v>214.27</v>
      </c>
      <c r="K23">
        <f t="shared" si="1"/>
        <v>6.0745370193949757</v>
      </c>
      <c r="L23" t="str">
        <f t="shared" si="5"/>
        <v>Phi</v>
      </c>
      <c r="M23" t="str">
        <f t="shared" si="2"/>
        <v>sia</v>
      </c>
      <c r="N23">
        <f t="shared" si="3"/>
        <v>7</v>
      </c>
      <c r="O23">
        <f t="shared" si="6"/>
        <v>11</v>
      </c>
      <c r="P23">
        <f t="shared" si="4"/>
        <v>6.1</v>
      </c>
      <c r="S23" t="s">
        <v>93</v>
      </c>
      <c r="T23" t="str">
        <v xml:space="preserve">European </v>
      </c>
      <c r="U23" t="str">
        <v>uro</v>
      </c>
      <c r="V23">
        <v>7</v>
      </c>
      <c r="W23" t="str">
        <v>European uro</v>
      </c>
    </row>
    <row r="24" spans="1:27" x14ac:dyDescent="0.25">
      <c r="A24" t="s">
        <v>39</v>
      </c>
      <c r="B24" t="s">
        <v>34</v>
      </c>
      <c r="C24">
        <v>2003</v>
      </c>
      <c r="D24">
        <v>64.599999999999994</v>
      </c>
      <c r="E24">
        <v>100.2</v>
      </c>
      <c r="F24">
        <v>406.702</v>
      </c>
      <c r="G24">
        <v>22.3</v>
      </c>
      <c r="H24">
        <v>53.8</v>
      </c>
      <c r="J24">
        <f t="shared" si="0"/>
        <v>406.7</v>
      </c>
      <c r="K24">
        <f t="shared" si="1"/>
        <v>10.009995004993758</v>
      </c>
      <c r="L24" t="str">
        <f t="shared" si="5"/>
        <v>Con</v>
      </c>
      <c r="M24" t="str">
        <f t="shared" si="2"/>
        <v>ica</v>
      </c>
      <c r="N24">
        <f t="shared" si="3"/>
        <v>7</v>
      </c>
      <c r="O24">
        <f t="shared" si="6"/>
        <v>11</v>
      </c>
      <c r="P24">
        <f t="shared" si="4"/>
        <v>10</v>
      </c>
      <c r="S24" t="s">
        <v>16</v>
      </c>
      <c r="T24" t="str">
        <v>Asia</v>
      </c>
      <c r="U24" t="str">
        <v>sia</v>
      </c>
      <c r="V24">
        <v>1</v>
      </c>
      <c r="W24" t="str">
        <v>Asiasia</v>
      </c>
    </row>
    <row r="25" spans="1:27" x14ac:dyDescent="0.25">
      <c r="A25" t="s">
        <v>40</v>
      </c>
      <c r="B25" t="s">
        <v>34</v>
      </c>
      <c r="C25">
        <v>2011</v>
      </c>
      <c r="D25">
        <v>45.8</v>
      </c>
      <c r="E25">
        <v>67</v>
      </c>
      <c r="F25">
        <v>237.6755</v>
      </c>
      <c r="G25">
        <v>21.1</v>
      </c>
      <c r="H25">
        <v>63.8</v>
      </c>
      <c r="J25">
        <f t="shared" si="0"/>
        <v>237.68</v>
      </c>
      <c r="K25">
        <f t="shared" si="1"/>
        <v>8.1853527718724504</v>
      </c>
      <c r="L25" t="str">
        <f t="shared" si="5"/>
        <v>Mad</v>
      </c>
      <c r="M25" t="str">
        <f t="shared" si="2"/>
        <v>ica</v>
      </c>
      <c r="N25">
        <f t="shared" si="3"/>
        <v>2</v>
      </c>
      <c r="O25">
        <f t="shared" si="6"/>
        <v>10</v>
      </c>
      <c r="P25">
        <f t="shared" si="4"/>
        <v>8.1999999999999993</v>
      </c>
      <c r="S25" t="s">
        <v>16</v>
      </c>
      <c r="T25" t="str">
        <v>Asia</v>
      </c>
      <c r="U25" t="str">
        <v>sia</v>
      </c>
      <c r="V25">
        <v>1</v>
      </c>
      <c r="W25" t="str">
        <v>Asiasia</v>
      </c>
    </row>
    <row r="26" spans="1:27" x14ac:dyDescent="0.25">
      <c r="A26" t="s">
        <v>41</v>
      </c>
      <c r="B26" t="s">
        <v>15</v>
      </c>
      <c r="C26">
        <v>2004</v>
      </c>
      <c r="D26">
        <v>6.2</v>
      </c>
      <c r="E26">
        <v>7.8</v>
      </c>
      <c r="F26">
        <v>194.0975</v>
      </c>
      <c r="G26">
        <v>25.8</v>
      </c>
      <c r="H26">
        <v>71.900000000000006</v>
      </c>
      <c r="J26">
        <f t="shared" si="0"/>
        <v>194.1</v>
      </c>
      <c r="K26">
        <f t="shared" si="1"/>
        <v>2.7928480087537881</v>
      </c>
      <c r="L26" t="str">
        <f t="shared" si="5"/>
        <v>Est</v>
      </c>
      <c r="M26" t="str">
        <f t="shared" si="2"/>
        <v>ion</v>
      </c>
      <c r="N26">
        <f t="shared" si="3"/>
        <v>33</v>
      </c>
      <c r="O26">
        <f t="shared" si="6"/>
        <v>7</v>
      </c>
      <c r="P26">
        <f t="shared" si="4"/>
        <v>2.8</v>
      </c>
      <c r="S26" t="s">
        <v>34</v>
      </c>
      <c r="T26" t="str">
        <v>abc</v>
      </c>
      <c r="U26" t="str">
        <v>fri</v>
      </c>
      <c r="V26">
        <v>1</v>
      </c>
      <c r="W26" t="str">
        <v>Africafri</v>
      </c>
    </row>
    <row r="27" spans="1:27" x14ac:dyDescent="0.25">
      <c r="A27" t="s">
        <v>42</v>
      </c>
      <c r="B27" t="s">
        <v>21</v>
      </c>
      <c r="C27">
        <v>2013</v>
      </c>
      <c r="D27">
        <v>14.6</v>
      </c>
      <c r="E27">
        <v>16.899999999999999</v>
      </c>
      <c r="F27">
        <v>179.14400000000001</v>
      </c>
      <c r="G27">
        <v>28.7</v>
      </c>
      <c r="H27">
        <v>73.5</v>
      </c>
      <c r="J27">
        <f t="shared" si="0"/>
        <v>179.14</v>
      </c>
      <c r="K27">
        <f t="shared" si="1"/>
        <v>4.1109609582188931</v>
      </c>
      <c r="L27" t="str">
        <f t="shared" si="5"/>
        <v>Bel</v>
      </c>
      <c r="M27" t="str">
        <f t="shared" si="2"/>
        <v>ean</v>
      </c>
      <c r="N27">
        <f t="shared" si="3"/>
        <v>68</v>
      </c>
      <c r="O27">
        <f t="shared" si="6"/>
        <v>6</v>
      </c>
      <c r="P27">
        <f t="shared" si="4"/>
        <v>4.0999999999999996</v>
      </c>
    </row>
    <row r="28" spans="1:27" x14ac:dyDescent="0.25">
      <c r="A28" t="s">
        <v>43</v>
      </c>
      <c r="B28" t="s">
        <v>16</v>
      </c>
      <c r="C28">
        <v>2006</v>
      </c>
      <c r="D28">
        <v>25.6</v>
      </c>
      <c r="E28">
        <v>29</v>
      </c>
      <c r="F28">
        <v>270.98849999999999</v>
      </c>
      <c r="G28">
        <v>25.8</v>
      </c>
      <c r="H28">
        <v>66.2</v>
      </c>
      <c r="J28">
        <f t="shared" si="0"/>
        <v>270.99</v>
      </c>
      <c r="K28">
        <f t="shared" si="1"/>
        <v>5.3851648071345037</v>
      </c>
      <c r="L28" t="str">
        <f t="shared" si="5"/>
        <v>Kaz</v>
      </c>
      <c r="M28" t="str">
        <f t="shared" si="2"/>
        <v>sia</v>
      </c>
      <c r="N28">
        <f t="shared" si="3"/>
        <v>33</v>
      </c>
      <c r="O28">
        <f t="shared" si="6"/>
        <v>10</v>
      </c>
      <c r="P28">
        <f t="shared" si="4"/>
        <v>5.4</v>
      </c>
      <c r="R28" s="7" t="s">
        <v>103</v>
      </c>
      <c r="AA28" s="6"/>
    </row>
    <row r="29" spans="1:27" x14ac:dyDescent="0.25">
      <c r="A29" t="s">
        <v>44</v>
      </c>
      <c r="B29" t="s">
        <v>34</v>
      </c>
      <c r="C29">
        <v>2015</v>
      </c>
      <c r="D29">
        <v>57</v>
      </c>
      <c r="E29">
        <v>88</v>
      </c>
      <c r="F29">
        <v>340.12650000000002</v>
      </c>
      <c r="G29">
        <v>24.3</v>
      </c>
      <c r="H29">
        <v>57.6</v>
      </c>
      <c r="J29">
        <f t="shared" si="0"/>
        <v>340.13</v>
      </c>
      <c r="K29">
        <f t="shared" si="1"/>
        <v>9.3808315196468595</v>
      </c>
      <c r="L29" t="str">
        <f t="shared" si="5"/>
        <v>Cam</v>
      </c>
      <c r="M29" t="str">
        <f t="shared" si="2"/>
        <v>ica</v>
      </c>
      <c r="N29">
        <f t="shared" si="3"/>
        <v>22</v>
      </c>
      <c r="O29">
        <f t="shared" si="6"/>
        <v>8</v>
      </c>
      <c r="P29">
        <f t="shared" si="4"/>
        <v>9.4</v>
      </c>
      <c r="S29" s="13" t="s">
        <v>97</v>
      </c>
      <c r="T29" s="13" t="s">
        <v>99</v>
      </c>
      <c r="U29" s="13" t="s">
        <v>98</v>
      </c>
      <c r="V29" s="13" t="s">
        <v>100</v>
      </c>
      <c r="W29" s="13" t="s">
        <v>101</v>
      </c>
      <c r="X29" s="13" t="s">
        <v>130</v>
      </c>
      <c r="AA29" s="5"/>
    </row>
    <row r="30" spans="1:27" x14ac:dyDescent="0.25">
      <c r="A30" t="s">
        <v>26</v>
      </c>
      <c r="B30" t="s">
        <v>14</v>
      </c>
      <c r="C30">
        <v>2006</v>
      </c>
      <c r="D30">
        <v>19.2</v>
      </c>
      <c r="E30">
        <v>22.5</v>
      </c>
      <c r="F30">
        <v>121.011</v>
      </c>
      <c r="G30">
        <v>28.3</v>
      </c>
      <c r="H30">
        <v>72.8</v>
      </c>
      <c r="J30">
        <f t="shared" si="0"/>
        <v>121.01</v>
      </c>
      <c r="K30">
        <f t="shared" si="1"/>
        <v>4.7434164902525691</v>
      </c>
      <c r="L30" t="str">
        <f t="shared" si="5"/>
        <v>Jor</v>
      </c>
      <c r="M30" t="str">
        <f t="shared" si="2"/>
        <v>ast</v>
      </c>
      <c r="N30">
        <f t="shared" si="3"/>
        <v>65</v>
      </c>
      <c r="O30">
        <f t="shared" si="6"/>
        <v>6</v>
      </c>
      <c r="P30">
        <f t="shared" si="4"/>
        <v>4.7</v>
      </c>
      <c r="R30">
        <v>105.824</v>
      </c>
      <c r="S30">
        <f>PRODUCT(R30,R31)</f>
        <v>6127.4741600000007</v>
      </c>
      <c r="T30">
        <f>MOD(R30,D13)</f>
        <v>3.8239999999999981</v>
      </c>
      <c r="U30">
        <f>FACT(T30)</f>
        <v>6</v>
      </c>
      <c r="V30">
        <f>ROUNDUP(T30,1)</f>
        <v>3.9</v>
      </c>
      <c r="W30">
        <f>ROUNDDOWN(T30,1)</f>
        <v>3.8</v>
      </c>
      <c r="X30">
        <f>ROUND(PRODUCT(R30,R31),1)</f>
        <v>6127.5</v>
      </c>
    </row>
    <row r="31" spans="1:27" x14ac:dyDescent="0.25">
      <c r="A31" t="s">
        <v>45</v>
      </c>
      <c r="B31" t="s">
        <v>34</v>
      </c>
      <c r="C31">
        <v>2009</v>
      </c>
      <c r="D31">
        <v>54</v>
      </c>
      <c r="E31">
        <v>91.3</v>
      </c>
      <c r="F31">
        <v>551.91150000000005</v>
      </c>
      <c r="G31">
        <v>23.6</v>
      </c>
      <c r="H31">
        <v>48.4</v>
      </c>
      <c r="J31">
        <f t="shared" si="0"/>
        <v>551.91</v>
      </c>
      <c r="K31">
        <f t="shared" si="1"/>
        <v>9.5551033484730024</v>
      </c>
      <c r="L31" t="str">
        <f t="shared" si="5"/>
        <v>Zim</v>
      </c>
      <c r="M31" t="str">
        <f t="shared" si="2"/>
        <v>ica</v>
      </c>
      <c r="N31">
        <f t="shared" si="3"/>
        <v>18</v>
      </c>
      <c r="O31">
        <f t="shared" si="6"/>
        <v>8</v>
      </c>
      <c r="P31">
        <f t="shared" si="4"/>
        <v>9.6</v>
      </c>
      <c r="R31">
        <v>57.902500000000003</v>
      </c>
      <c r="S31">
        <f>PRODUCT(ROUND(R31,1),ROUND(R32,1))</f>
        <v>11643.689999999999</v>
      </c>
    </row>
    <row r="32" spans="1:27" x14ac:dyDescent="0.25">
      <c r="A32" t="s">
        <v>46</v>
      </c>
      <c r="B32" t="s">
        <v>16</v>
      </c>
      <c r="C32">
        <v>2005</v>
      </c>
      <c r="D32">
        <v>44.7</v>
      </c>
      <c r="E32">
        <v>57.5</v>
      </c>
      <c r="F32">
        <v>253.2655</v>
      </c>
      <c r="G32">
        <v>22.8</v>
      </c>
      <c r="H32">
        <v>65.3</v>
      </c>
      <c r="J32">
        <f t="shared" si="0"/>
        <v>253.27</v>
      </c>
      <c r="K32">
        <f t="shared" si="1"/>
        <v>7.5828754440515507</v>
      </c>
      <c r="L32" t="str">
        <f t="shared" si="5"/>
        <v>Bhu</v>
      </c>
      <c r="M32" t="str">
        <f t="shared" si="2"/>
        <v>sia</v>
      </c>
      <c r="N32">
        <f t="shared" si="3"/>
        <v>12</v>
      </c>
      <c r="O32">
        <f t="shared" si="6"/>
        <v>6</v>
      </c>
      <c r="P32">
        <f t="shared" si="4"/>
        <v>7.6</v>
      </c>
      <c r="R32">
        <v>201.07650000000001</v>
      </c>
    </row>
    <row r="33" spans="1:24" x14ac:dyDescent="0.25">
      <c r="A33" t="s">
        <v>30</v>
      </c>
      <c r="B33" t="s">
        <v>23</v>
      </c>
      <c r="C33">
        <v>2010</v>
      </c>
      <c r="D33">
        <v>3.9</v>
      </c>
      <c r="E33">
        <v>4.5999999999999996</v>
      </c>
      <c r="F33">
        <v>56.910499999999999</v>
      </c>
      <c r="G33">
        <v>25.1</v>
      </c>
      <c r="H33">
        <v>82.2</v>
      </c>
      <c r="J33">
        <f t="shared" si="0"/>
        <v>56.91</v>
      </c>
      <c r="K33">
        <f t="shared" si="1"/>
        <v>2.1447610589527217</v>
      </c>
      <c r="L33" t="str">
        <f t="shared" si="5"/>
        <v>Swi</v>
      </c>
      <c r="M33" t="str">
        <f t="shared" si="2"/>
        <v>ope</v>
      </c>
      <c r="N33">
        <f t="shared" si="3"/>
        <v>25</v>
      </c>
      <c r="O33">
        <f t="shared" si="6"/>
        <v>11</v>
      </c>
      <c r="P33">
        <f t="shared" si="4"/>
        <v>2.1</v>
      </c>
    </row>
    <row r="34" spans="1:24" x14ac:dyDescent="0.25">
      <c r="A34" t="s">
        <v>47</v>
      </c>
      <c r="B34" t="s">
        <v>34</v>
      </c>
      <c r="C34">
        <v>2006</v>
      </c>
      <c r="D34">
        <v>48.7</v>
      </c>
      <c r="E34">
        <v>79.2</v>
      </c>
      <c r="F34">
        <v>515.71799999999996</v>
      </c>
      <c r="G34">
        <v>26.6</v>
      </c>
      <c r="H34">
        <v>53.8</v>
      </c>
      <c r="J34">
        <f t="shared" ref="J34:J65" si="7">ROUND(F34,2)</f>
        <v>515.72</v>
      </c>
      <c r="K34">
        <f t="shared" ref="K34:K65" si="8">SQRT(E34)</f>
        <v>8.8994381845147963</v>
      </c>
      <c r="L34" t="str">
        <f t="shared" ref="L34:L65" si="9">LEFT(A34,3)</f>
        <v>Sou</v>
      </c>
      <c r="M34" t="str">
        <f t="shared" ref="M34:M65" si="10">RIGHT(B34,3)</f>
        <v>ica</v>
      </c>
      <c r="N34">
        <f t="shared" ref="N34:N65" si="11">RANK(G34,G:G,1)</f>
        <v>56</v>
      </c>
      <c r="O34">
        <f t="shared" ref="O34:O65" si="12">LEN(A34)</f>
        <v>12</v>
      </c>
      <c r="P34">
        <f t="shared" si="4"/>
        <v>8.9</v>
      </c>
    </row>
    <row r="35" spans="1:24" ht="15.75" thickBot="1" x14ac:dyDescent="0.3">
      <c r="A35" t="s">
        <v>26</v>
      </c>
      <c r="B35" t="s">
        <v>14</v>
      </c>
      <c r="C35">
        <v>2012</v>
      </c>
      <c r="D35">
        <v>16.2</v>
      </c>
      <c r="E35">
        <v>19</v>
      </c>
      <c r="F35">
        <v>113.2855</v>
      </c>
      <c r="G35">
        <v>28.7</v>
      </c>
      <c r="H35">
        <v>73.7</v>
      </c>
      <c r="J35">
        <f t="shared" si="7"/>
        <v>113.29</v>
      </c>
      <c r="K35">
        <f t="shared" si="8"/>
        <v>4.358898943540674</v>
      </c>
      <c r="L35" t="str">
        <f t="shared" si="9"/>
        <v>Jor</v>
      </c>
      <c r="M35" t="str">
        <f t="shared" si="10"/>
        <v>ast</v>
      </c>
      <c r="N35">
        <f t="shared" si="11"/>
        <v>68</v>
      </c>
      <c r="O35">
        <f t="shared" si="12"/>
        <v>6</v>
      </c>
      <c r="P35">
        <f t="shared" si="4"/>
        <v>4.4000000000000004</v>
      </c>
      <c r="S35" s="23" t="s">
        <v>104</v>
      </c>
      <c r="T35" s="23" t="s">
        <v>105</v>
      </c>
      <c r="U35" s="23" t="s">
        <v>106</v>
      </c>
      <c r="V35" s="23" t="s">
        <v>1</v>
      </c>
      <c r="W35" s="23" t="s">
        <v>107</v>
      </c>
    </row>
    <row r="36" spans="1:24" ht="16.5" thickTop="1" thickBot="1" x14ac:dyDescent="0.3">
      <c r="A36" t="s">
        <v>48</v>
      </c>
      <c r="B36" t="s">
        <v>34</v>
      </c>
      <c r="C36">
        <v>2012</v>
      </c>
      <c r="D36">
        <v>36.799999999999997</v>
      </c>
      <c r="E36">
        <v>51.2</v>
      </c>
      <c r="F36">
        <v>274.029</v>
      </c>
      <c r="G36">
        <v>20.6</v>
      </c>
      <c r="H36">
        <v>63.2</v>
      </c>
      <c r="J36">
        <f t="shared" si="7"/>
        <v>274.02999999999997</v>
      </c>
      <c r="K36">
        <f t="shared" si="8"/>
        <v>7.1554175279993268</v>
      </c>
      <c r="L36" t="str">
        <f t="shared" si="9"/>
        <v>Eri</v>
      </c>
      <c r="M36" t="str">
        <f t="shared" si="10"/>
        <v>ica</v>
      </c>
      <c r="N36">
        <f t="shared" si="11"/>
        <v>1</v>
      </c>
      <c r="O36">
        <f t="shared" si="12"/>
        <v>7</v>
      </c>
      <c r="P36">
        <f t="shared" si="4"/>
        <v>7.2</v>
      </c>
      <c r="S36" s="8">
        <v>46023</v>
      </c>
      <c r="T36" s="9" t="s">
        <v>108</v>
      </c>
      <c r="U36" s="9" t="s">
        <v>109</v>
      </c>
      <c r="V36" s="9" t="s">
        <v>110</v>
      </c>
      <c r="W36" s="11">
        <v>45000</v>
      </c>
    </row>
    <row r="37" spans="1:24" ht="16.5" thickTop="1" thickBot="1" x14ac:dyDescent="0.3">
      <c r="A37" t="s">
        <v>49</v>
      </c>
      <c r="B37" t="s">
        <v>15</v>
      </c>
      <c r="C37">
        <v>2010</v>
      </c>
      <c r="D37">
        <v>3.5</v>
      </c>
      <c r="E37">
        <v>4.2</v>
      </c>
      <c r="F37">
        <v>77.603999999999999</v>
      </c>
      <c r="G37">
        <v>26.3</v>
      </c>
      <c r="H37">
        <v>80</v>
      </c>
      <c r="J37">
        <f t="shared" si="7"/>
        <v>77.599999999999994</v>
      </c>
      <c r="K37">
        <f t="shared" si="8"/>
        <v>2.0493901531919199</v>
      </c>
      <c r="L37" t="str">
        <f t="shared" si="9"/>
        <v>Ger</v>
      </c>
      <c r="M37" t="str">
        <f t="shared" si="10"/>
        <v>ion</v>
      </c>
      <c r="N37">
        <f t="shared" si="11"/>
        <v>49</v>
      </c>
      <c r="O37">
        <f t="shared" si="12"/>
        <v>7</v>
      </c>
      <c r="P37">
        <f t="shared" si="4"/>
        <v>2</v>
      </c>
      <c r="S37" s="8">
        <v>46024</v>
      </c>
      <c r="T37" s="9" t="s">
        <v>111</v>
      </c>
      <c r="U37" s="9" t="s">
        <v>112</v>
      </c>
      <c r="V37" s="9" t="s">
        <v>113</v>
      </c>
      <c r="W37" s="12">
        <v>25000</v>
      </c>
    </row>
    <row r="38" spans="1:24" ht="16.5" thickTop="1" thickBot="1" x14ac:dyDescent="0.3">
      <c r="A38" t="s">
        <v>50</v>
      </c>
      <c r="B38" t="s">
        <v>14</v>
      </c>
      <c r="C38">
        <v>2014</v>
      </c>
      <c r="D38">
        <v>8.3000000000000007</v>
      </c>
      <c r="E38">
        <v>9.6</v>
      </c>
      <c r="F38">
        <v>89.12</v>
      </c>
      <c r="G38">
        <v>28.3</v>
      </c>
      <c r="H38">
        <v>74.5</v>
      </c>
      <c r="J38">
        <f t="shared" si="7"/>
        <v>89.12</v>
      </c>
      <c r="K38">
        <f t="shared" si="8"/>
        <v>3.0983866769659336</v>
      </c>
      <c r="L38" t="str">
        <f t="shared" si="9"/>
        <v>Sau</v>
      </c>
      <c r="M38" t="str">
        <f t="shared" si="10"/>
        <v>ast</v>
      </c>
      <c r="N38">
        <f t="shared" si="11"/>
        <v>65</v>
      </c>
      <c r="O38">
        <f t="shared" si="12"/>
        <v>12</v>
      </c>
      <c r="P38">
        <f t="shared" si="4"/>
        <v>3.1</v>
      </c>
      <c r="S38" s="8">
        <v>46025</v>
      </c>
      <c r="T38" s="9" t="s">
        <v>108</v>
      </c>
      <c r="U38" s="9" t="s">
        <v>109</v>
      </c>
      <c r="V38" s="9" t="s">
        <v>116</v>
      </c>
      <c r="W38" s="11">
        <v>40000</v>
      </c>
    </row>
    <row r="39" spans="1:24" ht="15.75" thickTop="1" x14ac:dyDescent="0.25">
      <c r="A39" t="s">
        <v>51</v>
      </c>
      <c r="B39" t="s">
        <v>52</v>
      </c>
      <c r="C39">
        <v>2004</v>
      </c>
      <c r="D39">
        <v>49.4</v>
      </c>
      <c r="E39">
        <v>64.599999999999994</v>
      </c>
      <c r="F39">
        <v>214.77449999999999</v>
      </c>
      <c r="G39">
        <v>29.1</v>
      </c>
      <c r="H39">
        <v>64.2</v>
      </c>
      <c r="J39">
        <f t="shared" si="7"/>
        <v>214.77</v>
      </c>
      <c r="K39">
        <f t="shared" si="8"/>
        <v>8.0374125189640466</v>
      </c>
      <c r="L39" t="str">
        <f t="shared" si="9"/>
        <v>Kir</v>
      </c>
      <c r="M39" t="str">
        <f t="shared" si="10"/>
        <v>nia</v>
      </c>
      <c r="N39">
        <f t="shared" si="11"/>
        <v>71</v>
      </c>
      <c r="O39">
        <f t="shared" si="12"/>
        <v>8</v>
      </c>
      <c r="P39">
        <f t="shared" si="4"/>
        <v>8</v>
      </c>
      <c r="S39" s="8">
        <v>46026</v>
      </c>
      <c r="T39" s="9" t="s">
        <v>114</v>
      </c>
      <c r="U39" s="9" t="s">
        <v>115</v>
      </c>
      <c r="V39" s="9" t="s">
        <v>110</v>
      </c>
      <c r="W39" s="9">
        <v>18000</v>
      </c>
    </row>
    <row r="40" spans="1:24" x14ac:dyDescent="0.25">
      <c r="A40" t="s">
        <v>53</v>
      </c>
      <c r="B40" t="s">
        <v>34</v>
      </c>
      <c r="C40">
        <v>2011</v>
      </c>
      <c r="D40">
        <v>12.2</v>
      </c>
      <c r="E40">
        <v>14.2</v>
      </c>
      <c r="F40">
        <v>154.45050000000001</v>
      </c>
      <c r="G40">
        <v>26.3</v>
      </c>
      <c r="H40">
        <v>72.7</v>
      </c>
      <c r="J40">
        <f t="shared" si="7"/>
        <v>154.44999999999999</v>
      </c>
      <c r="K40">
        <f t="shared" si="8"/>
        <v>3.7682887362833544</v>
      </c>
      <c r="L40" t="str">
        <f t="shared" si="9"/>
        <v>Sey</v>
      </c>
      <c r="M40" t="str">
        <f t="shared" si="10"/>
        <v>ica</v>
      </c>
      <c r="N40">
        <f t="shared" si="11"/>
        <v>49</v>
      </c>
      <c r="O40">
        <f t="shared" si="12"/>
        <v>10</v>
      </c>
      <c r="P40">
        <f t="shared" si="4"/>
        <v>3.8</v>
      </c>
      <c r="S40" s="8">
        <v>46027</v>
      </c>
      <c r="T40" s="9" t="s">
        <v>111</v>
      </c>
      <c r="U40" s="9" t="s">
        <v>112</v>
      </c>
      <c r="V40" s="9" t="s">
        <v>113</v>
      </c>
      <c r="W40" s="12">
        <v>27000</v>
      </c>
    </row>
    <row r="41" spans="1:24" x14ac:dyDescent="0.25">
      <c r="A41" t="s">
        <v>40</v>
      </c>
      <c r="B41" t="s">
        <v>34</v>
      </c>
      <c r="C41">
        <v>2012</v>
      </c>
      <c r="D41">
        <v>44.6</v>
      </c>
      <c r="E41">
        <v>64.8</v>
      </c>
      <c r="F41">
        <v>232.446</v>
      </c>
      <c r="G41">
        <v>21.1</v>
      </c>
      <c r="H41">
        <v>64.3</v>
      </c>
      <c r="J41">
        <f t="shared" si="7"/>
        <v>232.45</v>
      </c>
      <c r="K41">
        <f t="shared" si="8"/>
        <v>8.0498447189992426</v>
      </c>
      <c r="L41" t="str">
        <f t="shared" si="9"/>
        <v>Mad</v>
      </c>
      <c r="M41" t="str">
        <f t="shared" si="10"/>
        <v>ica</v>
      </c>
      <c r="N41">
        <f t="shared" si="11"/>
        <v>2</v>
      </c>
      <c r="O41">
        <f t="shared" si="12"/>
        <v>10</v>
      </c>
      <c r="P41">
        <f t="shared" si="4"/>
        <v>8</v>
      </c>
      <c r="S41" s="8">
        <v>46028</v>
      </c>
      <c r="T41" s="9" t="s">
        <v>108</v>
      </c>
      <c r="U41" s="9" t="s">
        <v>112</v>
      </c>
      <c r="V41" s="9" t="s">
        <v>113</v>
      </c>
      <c r="W41" s="12">
        <v>42000</v>
      </c>
    </row>
    <row r="42" spans="1:24" ht="15.75" thickBot="1" x14ac:dyDescent="0.3">
      <c r="A42" t="s">
        <v>54</v>
      </c>
      <c r="B42" t="s">
        <v>16</v>
      </c>
      <c r="C42">
        <v>2014</v>
      </c>
      <c r="D42">
        <v>2.2000000000000002</v>
      </c>
      <c r="E42">
        <v>2.7</v>
      </c>
      <c r="F42">
        <v>52.393000000000001</v>
      </c>
      <c r="G42">
        <v>23.6</v>
      </c>
      <c r="H42">
        <v>82.5</v>
      </c>
      <c r="J42">
        <f t="shared" si="7"/>
        <v>52.39</v>
      </c>
      <c r="K42">
        <f t="shared" si="8"/>
        <v>1.6431676725154984</v>
      </c>
      <c r="L42" t="str">
        <f t="shared" si="9"/>
        <v>Sin</v>
      </c>
      <c r="M42" t="str">
        <f t="shared" si="10"/>
        <v>sia</v>
      </c>
      <c r="N42">
        <f t="shared" si="11"/>
        <v>18</v>
      </c>
      <c r="O42">
        <f t="shared" si="12"/>
        <v>9</v>
      </c>
      <c r="P42">
        <f t="shared" si="4"/>
        <v>1.6</v>
      </c>
      <c r="S42" s="8">
        <v>46029</v>
      </c>
      <c r="T42" s="9" t="s">
        <v>114</v>
      </c>
      <c r="U42" s="9" t="s">
        <v>115</v>
      </c>
      <c r="V42" s="9" t="s">
        <v>116</v>
      </c>
      <c r="W42" s="9">
        <v>19000</v>
      </c>
    </row>
    <row r="43" spans="1:24" ht="16.5" thickTop="1" thickBot="1" x14ac:dyDescent="0.3">
      <c r="A43" t="s">
        <v>55</v>
      </c>
      <c r="B43" t="s">
        <v>34</v>
      </c>
      <c r="C43">
        <v>2008</v>
      </c>
      <c r="D43">
        <v>61.4</v>
      </c>
      <c r="E43">
        <v>94.4</v>
      </c>
      <c r="F43">
        <v>318.7475</v>
      </c>
      <c r="G43">
        <v>22.9</v>
      </c>
      <c r="H43">
        <v>56.2</v>
      </c>
      <c r="J43">
        <f t="shared" si="7"/>
        <v>318.75</v>
      </c>
      <c r="K43">
        <f t="shared" si="8"/>
        <v>9.7159662411928949</v>
      </c>
      <c r="L43" t="str">
        <f t="shared" si="9"/>
        <v>Tog</v>
      </c>
      <c r="M43" t="str">
        <f t="shared" si="10"/>
        <v>ica</v>
      </c>
      <c r="N43">
        <f t="shared" si="11"/>
        <v>13</v>
      </c>
      <c r="O43">
        <f t="shared" si="12"/>
        <v>4</v>
      </c>
      <c r="P43">
        <f t="shared" si="4"/>
        <v>9.6999999999999993</v>
      </c>
      <c r="S43" s="8">
        <v>46030</v>
      </c>
      <c r="T43" s="9" t="s">
        <v>111</v>
      </c>
      <c r="U43" s="9" t="s">
        <v>109</v>
      </c>
      <c r="V43" s="9" t="s">
        <v>110</v>
      </c>
      <c r="W43" s="11">
        <v>26000</v>
      </c>
    </row>
    <row r="44" spans="1:24" ht="15.75" thickTop="1" x14ac:dyDescent="0.25">
      <c r="A44" t="s">
        <v>56</v>
      </c>
      <c r="B44" t="s">
        <v>15</v>
      </c>
      <c r="C44">
        <v>2009</v>
      </c>
      <c r="D44">
        <v>3.6</v>
      </c>
      <c r="E44">
        <v>4.2</v>
      </c>
      <c r="F44">
        <v>85.813500000000005</v>
      </c>
      <c r="G44">
        <v>25.3</v>
      </c>
      <c r="H44">
        <v>78.599999999999994</v>
      </c>
      <c r="J44">
        <f t="shared" si="7"/>
        <v>85.81</v>
      </c>
      <c r="K44">
        <f t="shared" si="8"/>
        <v>2.0493901531919199</v>
      </c>
      <c r="L44" t="str">
        <f t="shared" si="9"/>
        <v>Den</v>
      </c>
      <c r="M44" t="str">
        <f t="shared" si="10"/>
        <v>ion</v>
      </c>
      <c r="N44">
        <f t="shared" si="11"/>
        <v>26</v>
      </c>
      <c r="O44">
        <f t="shared" si="12"/>
        <v>7</v>
      </c>
      <c r="P44">
        <f t="shared" si="4"/>
        <v>2</v>
      </c>
      <c r="S44" s="8">
        <v>46031</v>
      </c>
      <c r="T44" s="9" t="s">
        <v>108</v>
      </c>
      <c r="U44" s="9" t="s">
        <v>117</v>
      </c>
      <c r="V44" s="9" t="s">
        <v>118</v>
      </c>
      <c r="W44" s="10">
        <v>43000</v>
      </c>
    </row>
    <row r="45" spans="1:24" x14ac:dyDescent="0.25">
      <c r="A45" t="s">
        <v>57</v>
      </c>
      <c r="B45" t="s">
        <v>34</v>
      </c>
      <c r="C45">
        <v>2015</v>
      </c>
      <c r="D45">
        <v>39.700000000000003</v>
      </c>
      <c r="E45">
        <v>59.8</v>
      </c>
      <c r="F45">
        <v>261.70650000000001</v>
      </c>
      <c r="G45">
        <v>23.9</v>
      </c>
      <c r="H45">
        <v>60.9</v>
      </c>
      <c r="J45">
        <f t="shared" si="7"/>
        <v>261.70999999999998</v>
      </c>
      <c r="K45">
        <f t="shared" si="8"/>
        <v>7.7330459716724818</v>
      </c>
      <c r="L45" t="str">
        <f t="shared" si="9"/>
        <v>Gam</v>
      </c>
      <c r="M45" t="str">
        <f t="shared" si="10"/>
        <v>ica</v>
      </c>
      <c r="N45">
        <f t="shared" si="11"/>
        <v>21</v>
      </c>
      <c r="O45">
        <f t="shared" si="12"/>
        <v>11</v>
      </c>
      <c r="P45">
        <f t="shared" si="4"/>
        <v>7.7</v>
      </c>
      <c r="S45" s="8">
        <v>46032</v>
      </c>
      <c r="T45" s="9" t="s">
        <v>114</v>
      </c>
      <c r="U45" s="9" t="s">
        <v>112</v>
      </c>
      <c r="V45" s="9" t="s">
        <v>113</v>
      </c>
      <c r="W45" s="12">
        <v>20000</v>
      </c>
    </row>
    <row r="46" spans="1:24" x14ac:dyDescent="0.25">
      <c r="A46" t="s">
        <v>20</v>
      </c>
      <c r="B46" t="s">
        <v>21</v>
      </c>
      <c r="C46">
        <v>2014</v>
      </c>
      <c r="D46">
        <v>7.9</v>
      </c>
      <c r="E46">
        <v>9.3000000000000007</v>
      </c>
      <c r="F46">
        <v>87.236999999999995</v>
      </c>
      <c r="G46">
        <v>27.2</v>
      </c>
      <c r="H46">
        <v>79.400000000000006</v>
      </c>
      <c r="J46">
        <f t="shared" si="7"/>
        <v>87.24</v>
      </c>
      <c r="K46">
        <f t="shared" si="8"/>
        <v>3.0495901363953815</v>
      </c>
      <c r="L46" t="str">
        <f t="shared" si="9"/>
        <v>Cos</v>
      </c>
      <c r="M46" t="str">
        <f t="shared" si="10"/>
        <v>ean</v>
      </c>
      <c r="N46">
        <f t="shared" si="11"/>
        <v>61</v>
      </c>
      <c r="O46">
        <f t="shared" si="12"/>
        <v>10</v>
      </c>
      <c r="P46">
        <f t="shared" si="4"/>
        <v>3</v>
      </c>
      <c r="W46" s="14" t="s">
        <v>119</v>
      </c>
      <c r="X46">
        <f>SUM(W36:W45)</f>
        <v>305000</v>
      </c>
    </row>
    <row r="47" spans="1:24" x14ac:dyDescent="0.25">
      <c r="A47" t="s">
        <v>42</v>
      </c>
      <c r="B47" t="s">
        <v>21</v>
      </c>
      <c r="C47">
        <v>2010</v>
      </c>
      <c r="D47">
        <v>16.2</v>
      </c>
      <c r="E47">
        <v>18.899999999999999</v>
      </c>
      <c r="F47">
        <v>181.584</v>
      </c>
      <c r="G47">
        <v>28.4</v>
      </c>
      <c r="H47">
        <v>72.099999999999994</v>
      </c>
      <c r="J47">
        <f t="shared" si="7"/>
        <v>181.58</v>
      </c>
      <c r="K47">
        <f t="shared" si="8"/>
        <v>4.3474130238568316</v>
      </c>
      <c r="L47" t="str">
        <f t="shared" si="9"/>
        <v>Bel</v>
      </c>
      <c r="M47" t="str">
        <f t="shared" si="10"/>
        <v>ean</v>
      </c>
      <c r="N47">
        <f t="shared" si="11"/>
        <v>67</v>
      </c>
      <c r="O47">
        <f t="shared" si="12"/>
        <v>6</v>
      </c>
      <c r="P47">
        <f t="shared" si="4"/>
        <v>4.3</v>
      </c>
    </row>
    <row r="48" spans="1:24" x14ac:dyDescent="0.25">
      <c r="A48" t="s">
        <v>58</v>
      </c>
      <c r="B48" t="s">
        <v>15</v>
      </c>
      <c r="C48">
        <v>2010</v>
      </c>
      <c r="D48">
        <v>2.5</v>
      </c>
      <c r="E48">
        <v>3.1</v>
      </c>
      <c r="F48">
        <v>57.491999999999997</v>
      </c>
      <c r="G48">
        <v>25.8</v>
      </c>
      <c r="H48">
        <v>81.5</v>
      </c>
      <c r="J48">
        <f t="shared" si="7"/>
        <v>57.49</v>
      </c>
      <c r="K48">
        <f t="shared" si="8"/>
        <v>1.7606816861659009</v>
      </c>
      <c r="L48" t="str">
        <f t="shared" si="9"/>
        <v>Swe</v>
      </c>
      <c r="M48" t="str">
        <f t="shared" si="10"/>
        <v>ion</v>
      </c>
      <c r="N48">
        <f t="shared" si="11"/>
        <v>33</v>
      </c>
      <c r="O48">
        <f t="shared" si="12"/>
        <v>6</v>
      </c>
      <c r="P48">
        <f t="shared" si="4"/>
        <v>1.8</v>
      </c>
      <c r="W48" s="24" t="s">
        <v>131</v>
      </c>
    </row>
    <row r="49" spans="1:24" x14ac:dyDescent="0.25">
      <c r="A49" t="s">
        <v>59</v>
      </c>
      <c r="B49" t="s">
        <v>15</v>
      </c>
      <c r="C49">
        <v>2014</v>
      </c>
      <c r="D49">
        <v>3.1</v>
      </c>
      <c r="E49">
        <v>3.8</v>
      </c>
      <c r="F49">
        <v>65.814999999999998</v>
      </c>
      <c r="G49">
        <v>25.5</v>
      </c>
      <c r="H49">
        <v>81.5</v>
      </c>
      <c r="J49">
        <f t="shared" si="7"/>
        <v>65.819999999999993</v>
      </c>
      <c r="K49">
        <f t="shared" si="8"/>
        <v>1.9493588689617927</v>
      </c>
      <c r="L49" t="str">
        <f t="shared" si="9"/>
        <v>Aus</v>
      </c>
      <c r="M49" t="str">
        <f t="shared" si="10"/>
        <v>ion</v>
      </c>
      <c r="N49">
        <f t="shared" si="11"/>
        <v>28</v>
      </c>
      <c r="O49">
        <f t="shared" si="12"/>
        <v>7</v>
      </c>
      <c r="P49">
        <f t="shared" si="4"/>
        <v>1.9</v>
      </c>
      <c r="V49" s="15" t="s">
        <v>102</v>
      </c>
      <c r="W49" t="s">
        <v>120</v>
      </c>
      <c r="X49">
        <f>SUMIF(U36:U45,"Red",W36:W45)</f>
        <v>43000</v>
      </c>
    </row>
    <row r="50" spans="1:24" x14ac:dyDescent="0.25">
      <c r="A50" t="s">
        <v>60</v>
      </c>
      <c r="B50" t="s">
        <v>16</v>
      </c>
      <c r="C50">
        <v>2012</v>
      </c>
      <c r="D50">
        <v>23.2</v>
      </c>
      <c r="E50">
        <v>26.1</v>
      </c>
      <c r="F50">
        <v>183.86250000000001</v>
      </c>
      <c r="G50">
        <v>26.1</v>
      </c>
      <c r="H50">
        <v>70</v>
      </c>
      <c r="J50">
        <f t="shared" si="7"/>
        <v>183.86</v>
      </c>
      <c r="K50">
        <f t="shared" si="8"/>
        <v>5.1088159097779204</v>
      </c>
      <c r="L50" t="str">
        <f t="shared" si="9"/>
        <v>Kyr</v>
      </c>
      <c r="M50" t="str">
        <f t="shared" si="10"/>
        <v>sia</v>
      </c>
      <c r="N50">
        <f t="shared" si="11"/>
        <v>44</v>
      </c>
      <c r="O50">
        <f t="shared" si="12"/>
        <v>15</v>
      </c>
      <c r="P50">
        <f t="shared" si="4"/>
        <v>5.0999999999999996</v>
      </c>
      <c r="V50" s="15" t="s">
        <v>123</v>
      </c>
      <c r="W50" t="s">
        <v>121</v>
      </c>
      <c r="X50">
        <f>SUMIFS(W36:W45,U36:U45,"Black",V36:V45,"South")</f>
        <v>71000</v>
      </c>
    </row>
    <row r="51" spans="1:24" x14ac:dyDescent="0.25">
      <c r="A51" t="s">
        <v>61</v>
      </c>
      <c r="B51" t="s">
        <v>21</v>
      </c>
      <c r="C51">
        <v>2013</v>
      </c>
      <c r="D51">
        <v>13.8</v>
      </c>
      <c r="E51">
        <v>15.8</v>
      </c>
      <c r="F51">
        <v>143.83150000000001</v>
      </c>
      <c r="G51">
        <v>26.7</v>
      </c>
      <c r="H51">
        <v>72.599999999999994</v>
      </c>
      <c r="J51">
        <f t="shared" si="7"/>
        <v>143.83000000000001</v>
      </c>
      <c r="K51">
        <f t="shared" si="8"/>
        <v>3.9749213828703582</v>
      </c>
      <c r="L51" t="str">
        <f t="shared" si="9"/>
        <v>Gre</v>
      </c>
      <c r="M51" t="str">
        <f t="shared" si="10"/>
        <v>ean</v>
      </c>
      <c r="N51">
        <f t="shared" si="11"/>
        <v>57</v>
      </c>
      <c r="O51">
        <f t="shared" si="12"/>
        <v>7</v>
      </c>
      <c r="P51">
        <f t="shared" si="4"/>
        <v>4</v>
      </c>
      <c r="V51" s="15" t="s">
        <v>123</v>
      </c>
      <c r="W51" t="s">
        <v>122</v>
      </c>
      <c r="X51">
        <f>SUMIFS(W36:W45,T36:T45,"Laptop",U36:U45,"Black",V36:V45,"South")</f>
        <v>45000</v>
      </c>
    </row>
    <row r="52" spans="1:24" x14ac:dyDescent="0.25">
      <c r="A52" t="s">
        <v>62</v>
      </c>
      <c r="B52" t="s">
        <v>16</v>
      </c>
      <c r="C52">
        <v>2010</v>
      </c>
      <c r="D52">
        <v>7.9</v>
      </c>
      <c r="E52">
        <v>9.6999999999999993</v>
      </c>
      <c r="F52">
        <v>91.945499999999996</v>
      </c>
      <c r="G52">
        <v>26.4</v>
      </c>
      <c r="H52">
        <v>74.7</v>
      </c>
      <c r="J52">
        <f t="shared" si="7"/>
        <v>91.95</v>
      </c>
      <c r="K52">
        <f t="shared" si="8"/>
        <v>3.1144823004794873</v>
      </c>
      <c r="L52" t="str">
        <f t="shared" si="9"/>
        <v>Bru</v>
      </c>
      <c r="M52" t="str">
        <f t="shared" si="10"/>
        <v>sia</v>
      </c>
      <c r="N52">
        <f t="shared" si="11"/>
        <v>52</v>
      </c>
      <c r="O52">
        <f t="shared" si="12"/>
        <v>17</v>
      </c>
      <c r="P52">
        <f t="shared" si="4"/>
        <v>3.1</v>
      </c>
    </row>
    <row r="53" spans="1:24" x14ac:dyDescent="0.25">
      <c r="A53" t="s">
        <v>63</v>
      </c>
      <c r="B53" t="s">
        <v>15</v>
      </c>
      <c r="C53">
        <v>2009</v>
      </c>
      <c r="D53">
        <v>3.4</v>
      </c>
      <c r="E53">
        <v>3.9</v>
      </c>
      <c r="F53">
        <v>75.947999999999993</v>
      </c>
      <c r="G53">
        <v>27</v>
      </c>
      <c r="H53">
        <v>80.2</v>
      </c>
      <c r="J53">
        <f t="shared" si="7"/>
        <v>75.95</v>
      </c>
      <c r="K53">
        <f t="shared" si="8"/>
        <v>1.9748417658131499</v>
      </c>
      <c r="L53" t="str">
        <f t="shared" si="9"/>
        <v>Gre</v>
      </c>
      <c r="M53" t="str">
        <f t="shared" si="10"/>
        <v>ion</v>
      </c>
      <c r="N53">
        <f t="shared" si="11"/>
        <v>58</v>
      </c>
      <c r="O53">
        <f t="shared" si="12"/>
        <v>6</v>
      </c>
      <c r="P53">
        <f t="shared" si="4"/>
        <v>2</v>
      </c>
    </row>
    <row r="54" spans="1:24" x14ac:dyDescent="0.25">
      <c r="A54" t="s">
        <v>31</v>
      </c>
      <c r="B54" t="s">
        <v>23</v>
      </c>
      <c r="C54">
        <v>2010</v>
      </c>
      <c r="D54">
        <v>2.7</v>
      </c>
      <c r="E54">
        <v>3.3</v>
      </c>
      <c r="F54">
        <v>64.861999999999995</v>
      </c>
      <c r="G54">
        <v>26.4</v>
      </c>
      <c r="H54">
        <v>81</v>
      </c>
      <c r="J54">
        <f t="shared" si="7"/>
        <v>64.86</v>
      </c>
      <c r="K54">
        <f t="shared" si="8"/>
        <v>1.8165902124584949</v>
      </c>
      <c r="L54" t="str">
        <f t="shared" si="9"/>
        <v>Nor</v>
      </c>
      <c r="M54" t="str">
        <f t="shared" si="10"/>
        <v>ope</v>
      </c>
      <c r="N54">
        <f t="shared" si="11"/>
        <v>52</v>
      </c>
      <c r="O54">
        <f t="shared" si="12"/>
        <v>6</v>
      </c>
      <c r="P54">
        <f t="shared" si="4"/>
        <v>1.8</v>
      </c>
      <c r="W54" s="24" t="s">
        <v>124</v>
      </c>
      <c r="X54">
        <f>AVERAGE(W36:W45)</f>
        <v>30500</v>
      </c>
    </row>
    <row r="55" spans="1:24" x14ac:dyDescent="0.25">
      <c r="A55" t="s">
        <v>64</v>
      </c>
      <c r="B55" t="s">
        <v>17</v>
      </c>
      <c r="C55">
        <v>2006</v>
      </c>
      <c r="D55">
        <v>11.7</v>
      </c>
      <c r="E55">
        <v>13.5</v>
      </c>
      <c r="F55">
        <v>116.762</v>
      </c>
      <c r="G55">
        <v>26.3</v>
      </c>
      <c r="H55">
        <v>76</v>
      </c>
      <c r="J55">
        <f t="shared" si="7"/>
        <v>116.76</v>
      </c>
      <c r="K55">
        <f t="shared" si="8"/>
        <v>3.6742346141747673</v>
      </c>
      <c r="L55" t="str">
        <f t="shared" si="9"/>
        <v>Uru</v>
      </c>
      <c r="M55" t="str">
        <f t="shared" si="10"/>
        <v>ica</v>
      </c>
      <c r="N55">
        <f t="shared" si="11"/>
        <v>49</v>
      </c>
      <c r="O55">
        <f t="shared" si="12"/>
        <v>7</v>
      </c>
      <c r="P55">
        <f t="shared" si="4"/>
        <v>3.7</v>
      </c>
      <c r="V55" s="15" t="s">
        <v>125</v>
      </c>
      <c r="W55" t="s">
        <v>126</v>
      </c>
      <c r="X55">
        <f>AVERAGEIF(U36:U45,"Blue",W36:W45)</f>
        <v>28500</v>
      </c>
    </row>
    <row r="56" spans="1:24" x14ac:dyDescent="0.25">
      <c r="A56" t="s">
        <v>65</v>
      </c>
      <c r="B56" t="s">
        <v>15</v>
      </c>
      <c r="C56">
        <v>2006</v>
      </c>
      <c r="D56">
        <v>5.5</v>
      </c>
      <c r="E56">
        <v>6.4</v>
      </c>
      <c r="F56">
        <v>109.298</v>
      </c>
      <c r="G56">
        <v>26.2</v>
      </c>
      <c r="H56">
        <v>75.8</v>
      </c>
      <c r="J56">
        <f t="shared" si="7"/>
        <v>109.3</v>
      </c>
      <c r="K56">
        <f t="shared" si="8"/>
        <v>2.5298221281347035</v>
      </c>
      <c r="L56" t="str">
        <f t="shared" si="9"/>
        <v>Cro</v>
      </c>
      <c r="M56" t="str">
        <f t="shared" si="10"/>
        <v>ion</v>
      </c>
      <c r="N56">
        <f t="shared" si="11"/>
        <v>46</v>
      </c>
      <c r="O56">
        <f t="shared" si="12"/>
        <v>7</v>
      </c>
      <c r="P56">
        <f t="shared" si="4"/>
        <v>2.5</v>
      </c>
      <c r="V56" s="15" t="s">
        <v>127</v>
      </c>
      <c r="W56" t="s">
        <v>128</v>
      </c>
      <c r="X56">
        <f>AVERAGEIFS(W36:W45,U36:U45,"White",V36:V45,"East")</f>
        <v>19000</v>
      </c>
    </row>
    <row r="57" spans="1:24" x14ac:dyDescent="0.25">
      <c r="A57" t="s">
        <v>66</v>
      </c>
      <c r="B57" t="s">
        <v>15</v>
      </c>
      <c r="C57">
        <v>2008</v>
      </c>
      <c r="D57">
        <v>11.9</v>
      </c>
      <c r="E57">
        <v>14</v>
      </c>
      <c r="F57">
        <v>151.86150000000001</v>
      </c>
      <c r="G57">
        <v>25.8</v>
      </c>
      <c r="H57">
        <v>72.599999999999994</v>
      </c>
      <c r="J57">
        <f t="shared" si="7"/>
        <v>151.86000000000001</v>
      </c>
      <c r="K57">
        <f t="shared" si="8"/>
        <v>3.7416573867739413</v>
      </c>
      <c r="L57" t="str">
        <f t="shared" si="9"/>
        <v>Rom</v>
      </c>
      <c r="M57" t="str">
        <f t="shared" si="10"/>
        <v>ion</v>
      </c>
      <c r="N57">
        <f t="shared" si="11"/>
        <v>33</v>
      </c>
      <c r="O57">
        <f t="shared" si="12"/>
        <v>7</v>
      </c>
      <c r="P57">
        <f t="shared" si="4"/>
        <v>3.7</v>
      </c>
      <c r="V57" s="15" t="s">
        <v>127</v>
      </c>
      <c r="W57" t="s">
        <v>129</v>
      </c>
      <c r="X57">
        <f>AVERAGEIFS(W36:W45,U36:U45,"Blue",T36:T45,"Mobile",V36:V45,"North")</f>
        <v>26000</v>
      </c>
    </row>
    <row r="58" spans="1:24" x14ac:dyDescent="0.25">
      <c r="A58" t="s">
        <v>67</v>
      </c>
      <c r="B58" t="s">
        <v>34</v>
      </c>
      <c r="C58">
        <v>2011</v>
      </c>
      <c r="D58">
        <v>96.7</v>
      </c>
      <c r="E58">
        <v>140.5</v>
      </c>
      <c r="F58">
        <v>463.613</v>
      </c>
      <c r="G58">
        <v>22.5</v>
      </c>
      <c r="H58">
        <v>48</v>
      </c>
      <c r="J58">
        <f t="shared" si="7"/>
        <v>463.61</v>
      </c>
      <c r="K58">
        <f t="shared" si="8"/>
        <v>11.853269591129697</v>
      </c>
      <c r="L58" t="str">
        <f t="shared" si="9"/>
        <v>Cen</v>
      </c>
      <c r="M58" t="str">
        <f t="shared" si="10"/>
        <v>ica</v>
      </c>
      <c r="N58">
        <f t="shared" si="11"/>
        <v>9</v>
      </c>
      <c r="O58">
        <f t="shared" si="12"/>
        <v>24</v>
      </c>
      <c r="P58">
        <f t="shared" si="4"/>
        <v>11.9</v>
      </c>
    </row>
    <row r="59" spans="1:24" x14ac:dyDescent="0.25">
      <c r="A59" t="s">
        <v>68</v>
      </c>
      <c r="B59" t="s">
        <v>34</v>
      </c>
      <c r="C59">
        <v>2015</v>
      </c>
      <c r="D59">
        <v>21.6</v>
      </c>
      <c r="E59">
        <v>25.2</v>
      </c>
      <c r="F59">
        <v>95.8155</v>
      </c>
      <c r="G59">
        <v>25.5</v>
      </c>
      <c r="H59">
        <v>76.099999999999994</v>
      </c>
      <c r="J59">
        <f t="shared" si="7"/>
        <v>95.82</v>
      </c>
      <c r="K59">
        <f t="shared" si="8"/>
        <v>5.0199601592044534</v>
      </c>
      <c r="L59" t="str">
        <f t="shared" si="9"/>
        <v>Alg</v>
      </c>
      <c r="M59" t="str">
        <f t="shared" si="10"/>
        <v>ica</v>
      </c>
      <c r="N59">
        <f t="shared" si="11"/>
        <v>28</v>
      </c>
      <c r="O59">
        <f t="shared" si="12"/>
        <v>7</v>
      </c>
      <c r="P59">
        <f t="shared" si="4"/>
        <v>5</v>
      </c>
    </row>
    <row r="60" spans="1:24" x14ac:dyDescent="0.25">
      <c r="A60" t="s">
        <v>69</v>
      </c>
      <c r="B60" t="s">
        <v>14</v>
      </c>
      <c r="C60">
        <v>2011</v>
      </c>
      <c r="D60">
        <v>45.3</v>
      </c>
      <c r="E60">
        <v>58.5</v>
      </c>
      <c r="F60">
        <v>231.94450000000001</v>
      </c>
      <c r="G60">
        <v>23.4</v>
      </c>
      <c r="H60">
        <v>65.8</v>
      </c>
      <c r="J60">
        <f t="shared" si="7"/>
        <v>231.94</v>
      </c>
      <c r="K60">
        <f t="shared" si="8"/>
        <v>7.6485292703891776</v>
      </c>
      <c r="L60" t="str">
        <f t="shared" si="9"/>
        <v>Yem</v>
      </c>
      <c r="M60" t="str">
        <f t="shared" si="10"/>
        <v>ast</v>
      </c>
      <c r="N60">
        <f t="shared" si="11"/>
        <v>15</v>
      </c>
      <c r="O60">
        <f t="shared" si="12"/>
        <v>11</v>
      </c>
      <c r="P60">
        <f t="shared" si="4"/>
        <v>7.6</v>
      </c>
    </row>
    <row r="61" spans="1:24" x14ac:dyDescent="0.25">
      <c r="A61" t="s">
        <v>70</v>
      </c>
      <c r="B61" t="s">
        <v>23</v>
      </c>
      <c r="C61">
        <v>2009</v>
      </c>
      <c r="D61">
        <v>17.2</v>
      </c>
      <c r="E61">
        <v>19.2</v>
      </c>
      <c r="F61">
        <v>139.36150000000001</v>
      </c>
      <c r="G61">
        <v>26</v>
      </c>
      <c r="H61">
        <v>73.099999999999994</v>
      </c>
      <c r="J61">
        <f t="shared" si="7"/>
        <v>139.36000000000001</v>
      </c>
      <c r="K61">
        <f t="shared" si="8"/>
        <v>4.3817804600413286</v>
      </c>
      <c r="L61" t="str">
        <f t="shared" si="9"/>
        <v>Arm</v>
      </c>
      <c r="M61" t="str">
        <f t="shared" si="10"/>
        <v>ope</v>
      </c>
      <c r="N61">
        <f t="shared" si="11"/>
        <v>40</v>
      </c>
      <c r="O61">
        <f t="shared" si="12"/>
        <v>7</v>
      </c>
      <c r="P61">
        <f t="shared" si="4"/>
        <v>4.4000000000000004</v>
      </c>
    </row>
    <row r="62" spans="1:24" x14ac:dyDescent="0.25">
      <c r="A62" t="s">
        <v>45</v>
      </c>
      <c r="B62" t="s">
        <v>34</v>
      </c>
      <c r="C62">
        <v>2004</v>
      </c>
      <c r="D62">
        <v>51.2</v>
      </c>
      <c r="E62">
        <v>92.4</v>
      </c>
      <c r="F62">
        <v>686.63900000000001</v>
      </c>
      <c r="G62">
        <v>23.4</v>
      </c>
      <c r="H62">
        <v>43.1</v>
      </c>
      <c r="J62">
        <f t="shared" si="7"/>
        <v>686.64</v>
      </c>
      <c r="K62">
        <f t="shared" si="8"/>
        <v>9.6124918725583335</v>
      </c>
      <c r="L62" t="str">
        <f t="shared" si="9"/>
        <v>Zim</v>
      </c>
      <c r="M62" t="str">
        <f t="shared" si="10"/>
        <v>ica</v>
      </c>
      <c r="N62">
        <f t="shared" si="11"/>
        <v>15</v>
      </c>
      <c r="O62">
        <f t="shared" si="12"/>
        <v>8</v>
      </c>
      <c r="P62">
        <f t="shared" si="4"/>
        <v>9.6</v>
      </c>
    </row>
    <row r="63" spans="1:24" x14ac:dyDescent="0.25">
      <c r="A63" t="s">
        <v>71</v>
      </c>
      <c r="B63" t="s">
        <v>21</v>
      </c>
      <c r="C63">
        <v>2003</v>
      </c>
      <c r="D63">
        <v>19</v>
      </c>
      <c r="E63">
        <v>21.7</v>
      </c>
      <c r="F63">
        <v>179.18700000000001</v>
      </c>
      <c r="G63">
        <v>25.8</v>
      </c>
      <c r="H63">
        <v>71.099999999999994</v>
      </c>
      <c r="J63">
        <f t="shared" si="7"/>
        <v>179.19</v>
      </c>
      <c r="K63">
        <f t="shared" si="8"/>
        <v>4.658325879540846</v>
      </c>
      <c r="L63" t="str">
        <f t="shared" si="9"/>
        <v>St.</v>
      </c>
      <c r="M63" t="str">
        <f t="shared" si="10"/>
        <v>ean</v>
      </c>
      <c r="N63">
        <f t="shared" si="11"/>
        <v>33</v>
      </c>
      <c r="O63">
        <f t="shared" si="12"/>
        <v>30</v>
      </c>
      <c r="P63">
        <f t="shared" si="4"/>
        <v>4.7</v>
      </c>
    </row>
    <row r="64" spans="1:24" x14ac:dyDescent="0.25">
      <c r="A64" t="s">
        <v>72</v>
      </c>
      <c r="B64" t="s">
        <v>34</v>
      </c>
      <c r="C64">
        <v>2007</v>
      </c>
      <c r="D64">
        <v>43.7</v>
      </c>
      <c r="E64">
        <v>68</v>
      </c>
      <c r="F64">
        <v>345.5865</v>
      </c>
      <c r="G64">
        <v>22.6</v>
      </c>
      <c r="H64">
        <v>57.5</v>
      </c>
      <c r="J64">
        <f t="shared" si="7"/>
        <v>345.59</v>
      </c>
      <c r="K64">
        <f t="shared" si="8"/>
        <v>8.2462112512353212</v>
      </c>
      <c r="L64" t="str">
        <f t="shared" si="9"/>
        <v>Ken</v>
      </c>
      <c r="M64" t="str">
        <f t="shared" si="10"/>
        <v>ica</v>
      </c>
      <c r="N64">
        <f t="shared" si="11"/>
        <v>10</v>
      </c>
      <c r="O64">
        <f t="shared" si="12"/>
        <v>5</v>
      </c>
      <c r="P64">
        <f t="shared" si="4"/>
        <v>8.1999999999999993</v>
      </c>
    </row>
    <row r="65" spans="1:16" x14ac:dyDescent="0.25">
      <c r="A65" t="s">
        <v>73</v>
      </c>
      <c r="B65" t="s">
        <v>52</v>
      </c>
      <c r="C65">
        <v>2003</v>
      </c>
      <c r="D65">
        <v>29</v>
      </c>
      <c r="E65">
        <v>35.200000000000003</v>
      </c>
      <c r="F65">
        <v>180.95349999999999</v>
      </c>
      <c r="G65">
        <v>28.9</v>
      </c>
      <c r="H65">
        <v>65.099999999999994</v>
      </c>
      <c r="J65">
        <f t="shared" si="7"/>
        <v>180.95</v>
      </c>
      <c r="K65">
        <f t="shared" si="8"/>
        <v>5.9329587896765306</v>
      </c>
      <c r="L65" t="str">
        <f t="shared" si="9"/>
        <v>Mic</v>
      </c>
      <c r="M65" t="str">
        <f t="shared" si="10"/>
        <v>nia</v>
      </c>
      <c r="N65">
        <f t="shared" si="11"/>
        <v>70</v>
      </c>
      <c r="O65">
        <f t="shared" si="12"/>
        <v>21</v>
      </c>
      <c r="P65">
        <f t="shared" si="4"/>
        <v>5.9</v>
      </c>
    </row>
    <row r="66" spans="1:16" x14ac:dyDescent="0.25">
      <c r="A66" t="s">
        <v>74</v>
      </c>
      <c r="B66" t="s">
        <v>21</v>
      </c>
      <c r="C66">
        <v>2004</v>
      </c>
      <c r="D66">
        <v>11</v>
      </c>
      <c r="E66">
        <v>13.5</v>
      </c>
      <c r="F66">
        <v>148.5575</v>
      </c>
      <c r="G66">
        <v>25.5</v>
      </c>
      <c r="H66">
        <v>74.8</v>
      </c>
      <c r="J66">
        <f t="shared" ref="J66:J97" si="13">ROUND(F66,2)</f>
        <v>148.56</v>
      </c>
      <c r="K66">
        <f t="shared" ref="K66:K97" si="14">SQRT(E66)</f>
        <v>3.6742346141747673</v>
      </c>
      <c r="L66" t="str">
        <f t="shared" ref="L66:L97" si="15">LEFT(A66,3)</f>
        <v>Ant</v>
      </c>
      <c r="M66" t="str">
        <f t="shared" ref="M66:M97" si="16">RIGHT(B66,3)</f>
        <v>ean</v>
      </c>
      <c r="N66">
        <f t="shared" ref="N66:N97" si="17">RANK(G66,G:G,1)</f>
        <v>28</v>
      </c>
      <c r="O66">
        <f t="shared" ref="O66:O97" si="18">LEN(A66)</f>
        <v>19</v>
      </c>
      <c r="P66">
        <f t="shared" si="4"/>
        <v>3.7</v>
      </c>
    </row>
    <row r="67" spans="1:16" x14ac:dyDescent="0.25">
      <c r="A67" t="s">
        <v>75</v>
      </c>
      <c r="B67" t="s">
        <v>16</v>
      </c>
      <c r="C67">
        <v>2007</v>
      </c>
      <c r="D67">
        <v>41.9</v>
      </c>
      <c r="E67">
        <v>53.4</v>
      </c>
      <c r="F67">
        <v>191.53749999999999</v>
      </c>
      <c r="G67">
        <v>21.4</v>
      </c>
      <c r="H67">
        <v>66.3</v>
      </c>
      <c r="J67">
        <f t="shared" si="13"/>
        <v>191.54</v>
      </c>
      <c r="K67">
        <f t="shared" si="14"/>
        <v>7.3075303625780439</v>
      </c>
      <c r="L67" t="str">
        <f t="shared" si="15"/>
        <v>Nep</v>
      </c>
      <c r="M67" t="str">
        <f t="shared" si="16"/>
        <v>sia</v>
      </c>
      <c r="N67">
        <f t="shared" si="17"/>
        <v>5</v>
      </c>
      <c r="O67">
        <f t="shared" si="18"/>
        <v>5</v>
      </c>
      <c r="P67">
        <f t="shared" si="4"/>
        <v>7.3</v>
      </c>
    </row>
    <row r="68" spans="1:16" x14ac:dyDescent="0.25">
      <c r="A68" t="s">
        <v>76</v>
      </c>
      <c r="B68" t="s">
        <v>15</v>
      </c>
      <c r="C68">
        <v>2005</v>
      </c>
      <c r="D68">
        <v>7.3</v>
      </c>
      <c r="E68">
        <v>9</v>
      </c>
      <c r="F68">
        <v>222.06899999999999</v>
      </c>
      <c r="G68">
        <v>26.2</v>
      </c>
      <c r="H68">
        <v>71.3</v>
      </c>
      <c r="J68">
        <f t="shared" si="13"/>
        <v>222.07</v>
      </c>
      <c r="K68">
        <f t="shared" si="14"/>
        <v>3</v>
      </c>
      <c r="L68" t="str">
        <f t="shared" si="15"/>
        <v>Lit</v>
      </c>
      <c r="M68" t="str">
        <f t="shared" si="16"/>
        <v>ion</v>
      </c>
      <c r="N68">
        <f t="shared" si="17"/>
        <v>46</v>
      </c>
      <c r="O68">
        <f t="shared" si="18"/>
        <v>9</v>
      </c>
      <c r="P68">
        <f t="shared" ref="P68:P131" si="19">ROUND(SQRT(E68),1)</f>
        <v>3</v>
      </c>
    </row>
    <row r="69" spans="1:16" x14ac:dyDescent="0.25">
      <c r="A69" t="s">
        <v>77</v>
      </c>
      <c r="B69" t="s">
        <v>52</v>
      </c>
      <c r="C69">
        <v>2003</v>
      </c>
      <c r="D69">
        <v>23.5</v>
      </c>
      <c r="E69">
        <v>28.1</v>
      </c>
      <c r="F69">
        <v>168.71449999999999</v>
      </c>
      <c r="G69">
        <v>25.6</v>
      </c>
      <c r="H69">
        <v>68</v>
      </c>
      <c r="J69">
        <f t="shared" si="13"/>
        <v>168.71</v>
      </c>
      <c r="K69">
        <f t="shared" si="14"/>
        <v>5.3009433122794292</v>
      </c>
      <c r="L69" t="str">
        <f t="shared" si="15"/>
        <v>Van</v>
      </c>
      <c r="M69" t="str">
        <f t="shared" si="16"/>
        <v>nia</v>
      </c>
      <c r="N69">
        <f t="shared" si="17"/>
        <v>31</v>
      </c>
      <c r="O69">
        <f t="shared" si="18"/>
        <v>7</v>
      </c>
      <c r="P69">
        <f t="shared" si="19"/>
        <v>5.3</v>
      </c>
    </row>
    <row r="70" spans="1:16" x14ac:dyDescent="0.25">
      <c r="A70" t="s">
        <v>78</v>
      </c>
      <c r="B70" t="s">
        <v>16</v>
      </c>
      <c r="C70">
        <v>2000</v>
      </c>
      <c r="D70">
        <v>90.5</v>
      </c>
      <c r="E70">
        <v>129.19999999999999</v>
      </c>
      <c r="F70">
        <v>310.83049999999997</v>
      </c>
      <c r="G70">
        <v>21.7</v>
      </c>
      <c r="H70">
        <v>55.8</v>
      </c>
      <c r="J70">
        <f t="shared" si="13"/>
        <v>310.83</v>
      </c>
      <c r="K70">
        <f t="shared" si="14"/>
        <v>11.366617790706258</v>
      </c>
      <c r="L70" t="str">
        <f t="shared" si="15"/>
        <v>Afg</v>
      </c>
      <c r="M70" t="str">
        <f t="shared" si="16"/>
        <v>sia</v>
      </c>
      <c r="N70">
        <f t="shared" si="17"/>
        <v>6</v>
      </c>
      <c r="O70">
        <f t="shared" si="18"/>
        <v>11</v>
      </c>
      <c r="P70">
        <f t="shared" si="19"/>
        <v>11.4</v>
      </c>
    </row>
    <row r="71" spans="1:16" x14ac:dyDescent="0.25">
      <c r="A71" t="s">
        <v>79</v>
      </c>
      <c r="B71" t="s">
        <v>14</v>
      </c>
      <c r="C71">
        <v>2011</v>
      </c>
      <c r="D71">
        <v>8.5</v>
      </c>
      <c r="E71">
        <v>10</v>
      </c>
      <c r="F71">
        <v>64.968999999999994</v>
      </c>
      <c r="G71">
        <v>29.1</v>
      </c>
      <c r="H71">
        <v>74.599999999999994</v>
      </c>
      <c r="J71">
        <f t="shared" si="13"/>
        <v>64.97</v>
      </c>
      <c r="K71">
        <f t="shared" si="14"/>
        <v>3.1622776601683795</v>
      </c>
      <c r="L71" t="str">
        <f t="shared" si="15"/>
        <v>Kuw</v>
      </c>
      <c r="M71" t="str">
        <f t="shared" si="16"/>
        <v>ast</v>
      </c>
      <c r="N71">
        <f t="shared" si="17"/>
        <v>71</v>
      </c>
      <c r="O71">
        <f t="shared" si="18"/>
        <v>6</v>
      </c>
      <c r="P71">
        <f t="shared" si="19"/>
        <v>3.2</v>
      </c>
    </row>
    <row r="72" spans="1:16" x14ac:dyDescent="0.25">
      <c r="A72" t="s">
        <v>72</v>
      </c>
      <c r="B72" t="s">
        <v>34</v>
      </c>
      <c r="C72">
        <v>2011</v>
      </c>
      <c r="D72">
        <v>38.5</v>
      </c>
      <c r="E72">
        <v>55.5</v>
      </c>
      <c r="F72">
        <v>260.375</v>
      </c>
      <c r="G72">
        <v>22.9</v>
      </c>
      <c r="H72">
        <v>61.9</v>
      </c>
      <c r="J72">
        <f t="shared" si="13"/>
        <v>260.38</v>
      </c>
      <c r="K72">
        <f t="shared" si="14"/>
        <v>7.4498322128756698</v>
      </c>
      <c r="L72" t="str">
        <f t="shared" si="15"/>
        <v>Ken</v>
      </c>
      <c r="M72" t="str">
        <f t="shared" si="16"/>
        <v>ica</v>
      </c>
      <c r="N72">
        <f t="shared" si="17"/>
        <v>13</v>
      </c>
      <c r="O72">
        <f t="shared" si="18"/>
        <v>5</v>
      </c>
      <c r="P72">
        <f t="shared" si="19"/>
        <v>7.4</v>
      </c>
    </row>
    <row r="73" spans="1:16" x14ac:dyDescent="0.25">
      <c r="A73" t="s">
        <v>49</v>
      </c>
      <c r="B73" t="s">
        <v>15</v>
      </c>
      <c r="C73">
        <v>2004</v>
      </c>
      <c r="D73">
        <v>4</v>
      </c>
      <c r="E73">
        <v>4.9000000000000004</v>
      </c>
      <c r="F73">
        <v>86.3185</v>
      </c>
      <c r="G73">
        <v>26</v>
      </c>
      <c r="H73">
        <v>78.7</v>
      </c>
      <c r="J73">
        <f t="shared" si="13"/>
        <v>86.32</v>
      </c>
      <c r="K73">
        <f t="shared" si="14"/>
        <v>2.2135943621178655</v>
      </c>
      <c r="L73" t="str">
        <f t="shared" si="15"/>
        <v>Ger</v>
      </c>
      <c r="M73" t="str">
        <f t="shared" si="16"/>
        <v>ion</v>
      </c>
      <c r="N73">
        <f t="shared" si="17"/>
        <v>40</v>
      </c>
      <c r="O73">
        <f t="shared" si="18"/>
        <v>7</v>
      </c>
      <c r="P73">
        <f t="shared" si="19"/>
        <v>2.2000000000000002</v>
      </c>
    </row>
    <row r="75" spans="1:16" x14ac:dyDescent="0.25">
      <c r="G75" s="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23691a3306@MITS.COM</dc:creator>
  <cp:lastModifiedBy>23691A3306@mits.com</cp:lastModifiedBy>
  <dcterms:created xsi:type="dcterms:W3CDTF">2026-06-01T06:11:50Z</dcterms:created>
  <dcterms:modified xsi:type="dcterms:W3CDTF">2026-06-01T11:22:50Z</dcterms:modified>
</cp:coreProperties>
</file>