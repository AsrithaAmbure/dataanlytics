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.DATA\"/>
    </mc:Choice>
  </mc:AlternateContent>
  <xr:revisionPtr revIDLastSave="0" documentId="13_ncr:1_{031A491F-E5B5-45BB-8BEF-9DC2ED3A39C2}" xr6:coauthVersionLast="47" xr6:coauthVersionMax="47" xr10:uidLastSave="{00000000-0000-0000-0000-000000000000}"/>
  <bookViews>
    <workbookView xWindow="-120" yWindow="-120" windowWidth="29040" windowHeight="15720" activeTab="1" xr2:uid="{02BD5F67-049E-4C94-B3F8-81A0D08BCFCE}"/>
  </bookViews>
  <sheets>
    <sheet name="Sheet1" sheetId="1" r:id="rId1"/>
    <sheet name="Sheet2" sheetId="2" r:id="rId2"/>
  </sheets>
  <definedNames>
    <definedName name="_xlnm._FilterDatabase" localSheetId="0" hidden="1">Sheet1!$D$71:$F$75</definedName>
    <definedName name="_xlchart.v1.0" hidden="1">Sheet1!$C$82:$C$101</definedName>
    <definedName name="_xlchart.v1.1" hidden="1">Sheet1!$I$81</definedName>
    <definedName name="_xlchart.v1.2" hidden="1">Sheet1!$I$82:$I$101</definedName>
    <definedName name="_xlchart.v1.3" hidden="1">Sheet1!$C$82:$C$101</definedName>
    <definedName name="_xlchart.v1.4" hidden="1">Sheet1!$I$81</definedName>
    <definedName name="_xlchart.v1.5" hidden="1">Sheet1!$I$82:$I$101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2" l="1"/>
  <c r="Q6" i="2"/>
  <c r="Q5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J131" i="2"/>
  <c r="J130" i="2"/>
  <c r="J129" i="2"/>
  <c r="J128" i="2"/>
  <c r="J127" i="2"/>
  <c r="J126" i="2"/>
  <c r="J125" i="2"/>
  <c r="J124" i="2"/>
  <c r="J123" i="2"/>
  <c r="N122" i="2"/>
  <c r="M122" i="2"/>
  <c r="L122" i="2"/>
  <c r="K122" i="2"/>
  <c r="J122" i="2"/>
  <c r="R97" i="2"/>
  <c r="AB77" i="2"/>
  <c r="Y77" i="2"/>
  <c r="AA77" i="2" s="1"/>
  <c r="X77" i="2"/>
  <c r="AC77" i="2" s="1"/>
  <c r="T77" i="2"/>
  <c r="S77" i="2"/>
  <c r="R77" i="2"/>
  <c r="AB76" i="2"/>
  <c r="Y76" i="2"/>
  <c r="AA76" i="2" s="1"/>
  <c r="X76" i="2"/>
  <c r="AC76" i="2" s="1"/>
  <c r="T76" i="2"/>
  <c r="S76" i="2"/>
  <c r="R76" i="2"/>
  <c r="AB75" i="2"/>
  <c r="Y75" i="2"/>
  <c r="AA75" i="2" s="1"/>
  <c r="X75" i="2"/>
  <c r="AC75" i="2" s="1"/>
  <c r="T75" i="2"/>
  <c r="S75" i="2"/>
  <c r="R75" i="2"/>
  <c r="AB74" i="2"/>
  <c r="Y74" i="2"/>
  <c r="AA74" i="2" s="1"/>
  <c r="X74" i="2"/>
  <c r="AC74" i="2" s="1"/>
  <c r="T74" i="2"/>
  <c r="S74" i="2"/>
  <c r="R74" i="2"/>
  <c r="AB73" i="2"/>
  <c r="Y73" i="2"/>
  <c r="AA73" i="2" s="1"/>
  <c r="X73" i="2"/>
  <c r="Z73" i="2" s="1"/>
  <c r="T73" i="2"/>
  <c r="S73" i="2"/>
  <c r="R73" i="2"/>
  <c r="AB72" i="2"/>
  <c r="Y72" i="2"/>
  <c r="AA72" i="2" s="1"/>
  <c r="X72" i="2"/>
  <c r="AC72" i="2" s="1"/>
  <c r="T72" i="2"/>
  <c r="S72" i="2"/>
  <c r="R72" i="2"/>
  <c r="AC71" i="2"/>
  <c r="AB71" i="2"/>
  <c r="AA71" i="2"/>
  <c r="Y71" i="2"/>
  <c r="X71" i="2"/>
  <c r="Z71" i="2" s="1"/>
  <c r="T71" i="2"/>
  <c r="S71" i="2"/>
  <c r="R71" i="2"/>
  <c r="R66" i="2"/>
  <c r="R65" i="2"/>
  <c r="H58" i="2"/>
  <c r="H57" i="2"/>
  <c r="V56" i="2"/>
  <c r="H56" i="2"/>
  <c r="Z55" i="2"/>
  <c r="X55" i="2"/>
  <c r="V55" i="2"/>
  <c r="S55" i="2"/>
  <c r="Z54" i="2"/>
  <c r="X54" i="2"/>
  <c r="V54" i="2"/>
  <c r="S54" i="2"/>
  <c r="S53" i="2"/>
  <c r="M50" i="2"/>
  <c r="L50" i="2"/>
  <c r="K50" i="2"/>
  <c r="J50" i="2"/>
  <c r="I50" i="2"/>
  <c r="H50" i="2"/>
  <c r="G50" i="2"/>
  <c r="F50" i="2"/>
  <c r="Q4" i="2" s="1"/>
  <c r="W46" i="2"/>
  <c r="Z44" i="2"/>
  <c r="Z43" i="2"/>
  <c r="Z42" i="2"/>
  <c r="Z41" i="2"/>
  <c r="O40" i="2"/>
  <c r="N40" i="2"/>
  <c r="L40" i="2"/>
  <c r="K40" i="2"/>
  <c r="J40" i="2"/>
  <c r="I40" i="2"/>
  <c r="O39" i="2"/>
  <c r="N39" i="2"/>
  <c r="L39" i="2"/>
  <c r="K39" i="2"/>
  <c r="J39" i="2"/>
  <c r="I39" i="2"/>
  <c r="Z38" i="2"/>
  <c r="O38" i="2"/>
  <c r="N38" i="2"/>
  <c r="L38" i="2"/>
  <c r="K38" i="2"/>
  <c r="J38" i="2"/>
  <c r="I38" i="2"/>
  <c r="Z37" i="2"/>
  <c r="O37" i="2"/>
  <c r="N37" i="2"/>
  <c r="L37" i="2"/>
  <c r="K37" i="2"/>
  <c r="J37" i="2"/>
  <c r="I37" i="2"/>
  <c r="Z36" i="2"/>
  <c r="O36" i="2"/>
  <c r="N36" i="2"/>
  <c r="L36" i="2"/>
  <c r="K36" i="2"/>
  <c r="J36" i="2"/>
  <c r="I36" i="2"/>
  <c r="O35" i="2"/>
  <c r="N35" i="2"/>
  <c r="L35" i="2"/>
  <c r="K35" i="2"/>
  <c r="J35" i="2"/>
  <c r="I35" i="2"/>
  <c r="O34" i="2"/>
  <c r="N34" i="2"/>
  <c r="L34" i="2"/>
  <c r="K34" i="2"/>
  <c r="J34" i="2"/>
  <c r="I34" i="2"/>
  <c r="O33" i="2"/>
  <c r="N33" i="2"/>
  <c r="L33" i="2"/>
  <c r="K33" i="2"/>
  <c r="J33" i="2"/>
  <c r="I33" i="2"/>
  <c r="O32" i="2"/>
  <c r="N32" i="2"/>
  <c r="L32" i="2"/>
  <c r="K32" i="2"/>
  <c r="J32" i="2"/>
  <c r="I32" i="2"/>
  <c r="R31" i="2"/>
  <c r="O31" i="2"/>
  <c r="N31" i="2"/>
  <c r="L31" i="2"/>
  <c r="K31" i="2"/>
  <c r="J31" i="2"/>
  <c r="I31" i="2"/>
  <c r="W30" i="2"/>
  <c r="S30" i="2"/>
  <c r="V30" i="2" s="1"/>
  <c r="R30" i="2"/>
  <c r="O30" i="2"/>
  <c r="N30" i="2"/>
  <c r="L30" i="2"/>
  <c r="K30" i="2"/>
  <c r="J30" i="2"/>
  <c r="I30" i="2"/>
  <c r="O29" i="2"/>
  <c r="N29" i="2"/>
  <c r="L29" i="2"/>
  <c r="K29" i="2"/>
  <c r="J29" i="2"/>
  <c r="I29" i="2"/>
  <c r="O28" i="2"/>
  <c r="N28" i="2"/>
  <c r="L28" i="2"/>
  <c r="K28" i="2"/>
  <c r="J28" i="2"/>
  <c r="I28" i="2"/>
  <c r="O27" i="2"/>
  <c r="N27" i="2"/>
  <c r="L27" i="2"/>
  <c r="K27" i="2"/>
  <c r="J27" i="2"/>
  <c r="I27" i="2"/>
  <c r="O26" i="2"/>
  <c r="N26" i="2"/>
  <c r="L26" i="2"/>
  <c r="K26" i="2"/>
  <c r="J26" i="2"/>
  <c r="I26" i="2"/>
  <c r="O25" i="2"/>
  <c r="N25" i="2"/>
  <c r="L25" i="2"/>
  <c r="K25" i="2"/>
  <c r="J25" i="2"/>
  <c r="I25" i="2"/>
  <c r="O24" i="2"/>
  <c r="N24" i="2"/>
  <c r="L24" i="2"/>
  <c r="K24" i="2"/>
  <c r="J24" i="2"/>
  <c r="I24" i="2"/>
  <c r="O23" i="2"/>
  <c r="N23" i="2"/>
  <c r="L23" i="2"/>
  <c r="K23" i="2"/>
  <c r="J23" i="2"/>
  <c r="I23" i="2"/>
  <c r="O22" i="2"/>
  <c r="N22" i="2"/>
  <c r="L22" i="2"/>
  <c r="K22" i="2"/>
  <c r="J22" i="2"/>
  <c r="I22" i="2"/>
  <c r="O21" i="2"/>
  <c r="N21" i="2"/>
  <c r="L21" i="2"/>
  <c r="K21" i="2"/>
  <c r="J21" i="2"/>
  <c r="I21" i="2"/>
  <c r="O20" i="2"/>
  <c r="N20" i="2"/>
  <c r="L20" i="2"/>
  <c r="K20" i="2"/>
  <c r="J20" i="2"/>
  <c r="I20" i="2"/>
  <c r="O19" i="2"/>
  <c r="N19" i="2"/>
  <c r="L19" i="2"/>
  <c r="K19" i="2"/>
  <c r="J19" i="2"/>
  <c r="I19" i="2"/>
  <c r="O18" i="2"/>
  <c r="N18" i="2"/>
  <c r="L18" i="2"/>
  <c r="K18" i="2"/>
  <c r="J18" i="2"/>
  <c r="I18" i="2"/>
  <c r="O17" i="2"/>
  <c r="N17" i="2"/>
  <c r="L17" i="2"/>
  <c r="K17" i="2"/>
  <c r="J17" i="2"/>
  <c r="I17" i="2"/>
  <c r="U16" i="2" a="1"/>
  <c r="U16" i="2" s="1"/>
  <c r="T16" i="2" a="1"/>
  <c r="T16" i="2" s="1"/>
  <c r="V16" i="2" s="1" a="1"/>
  <c r="V16" i="2" s="1"/>
  <c r="S16" i="2" a="1"/>
  <c r="S16" i="2" s="1"/>
  <c r="O16" i="2"/>
  <c r="N16" i="2"/>
  <c r="L16" i="2"/>
  <c r="K16" i="2"/>
  <c r="J16" i="2"/>
  <c r="I16" i="2"/>
  <c r="O15" i="2"/>
  <c r="N15" i="2"/>
  <c r="L15" i="2"/>
  <c r="K15" i="2"/>
  <c r="J15" i="2"/>
  <c r="I15" i="2"/>
  <c r="O14" i="2"/>
  <c r="N14" i="2"/>
  <c r="L14" i="2"/>
  <c r="K14" i="2"/>
  <c r="J14" i="2"/>
  <c r="I14" i="2"/>
  <c r="O13" i="2"/>
  <c r="N13" i="2"/>
  <c r="L13" i="2"/>
  <c r="K13" i="2"/>
  <c r="J13" i="2"/>
  <c r="I13" i="2"/>
  <c r="O12" i="2"/>
  <c r="N12" i="2"/>
  <c r="L12" i="2"/>
  <c r="K12" i="2"/>
  <c r="J12" i="2"/>
  <c r="I12" i="2"/>
  <c r="O11" i="2"/>
  <c r="N11" i="2"/>
  <c r="L11" i="2"/>
  <c r="K11" i="2"/>
  <c r="J11" i="2"/>
  <c r="I11" i="2"/>
  <c r="O10" i="2"/>
  <c r="N10" i="2"/>
  <c r="L10" i="2"/>
  <c r="K10" i="2"/>
  <c r="J10" i="2"/>
  <c r="I10" i="2"/>
  <c r="O9" i="2"/>
  <c r="N9" i="2"/>
  <c r="L9" i="2"/>
  <c r="K9" i="2"/>
  <c r="J9" i="2"/>
  <c r="I9" i="2"/>
  <c r="T8" i="2"/>
  <c r="O8" i="2"/>
  <c r="N8" i="2"/>
  <c r="L8" i="2"/>
  <c r="K8" i="2"/>
  <c r="J8" i="2"/>
  <c r="I8" i="2"/>
  <c r="T7" i="2"/>
  <c r="O7" i="2"/>
  <c r="N7" i="2"/>
  <c r="L7" i="2"/>
  <c r="K7" i="2"/>
  <c r="J7" i="2"/>
  <c r="I7" i="2"/>
  <c r="T6" i="2"/>
  <c r="O6" i="2"/>
  <c r="N6" i="2"/>
  <c r="L6" i="2"/>
  <c r="K6" i="2"/>
  <c r="J6" i="2"/>
  <c r="I6" i="2"/>
  <c r="T5" i="2"/>
  <c r="O5" i="2"/>
  <c r="N5" i="2"/>
  <c r="L5" i="2"/>
  <c r="K5" i="2"/>
  <c r="J5" i="2"/>
  <c r="I5" i="2"/>
  <c r="T4" i="2"/>
  <c r="O4" i="2"/>
  <c r="N4" i="2"/>
  <c r="L4" i="2"/>
  <c r="K4" i="2"/>
  <c r="J4" i="2"/>
  <c r="I4" i="2"/>
  <c r="X3" i="2" a="1"/>
  <c r="X3" i="2" s="1"/>
  <c r="W3" i="2" a="1"/>
  <c r="W3" i="2" s="1"/>
  <c r="T3" i="2"/>
  <c r="Q3" i="2"/>
  <c r="O3" i="2"/>
  <c r="N3" i="2"/>
  <c r="L3" i="2"/>
  <c r="K3" i="2"/>
  <c r="J3" i="2"/>
  <c r="I3" i="2"/>
  <c r="T2" i="2"/>
  <c r="O2" i="2"/>
  <c r="N2" i="2"/>
  <c r="L2" i="2"/>
  <c r="K2" i="2"/>
  <c r="J2" i="2"/>
  <c r="I2" i="2"/>
  <c r="N122" i="1"/>
  <c r="M122" i="1"/>
  <c r="L122" i="1"/>
  <c r="K122" i="1"/>
  <c r="J123" i="1"/>
  <c r="J124" i="1"/>
  <c r="J125" i="1"/>
  <c r="J126" i="1"/>
  <c r="J127" i="1"/>
  <c r="J128" i="1"/>
  <c r="J129" i="1"/>
  <c r="J130" i="1"/>
  <c r="J131" i="1"/>
  <c r="J122" i="1"/>
  <c r="Z77" i="2" l="1"/>
  <c r="Z72" i="2"/>
  <c r="U30" i="2"/>
  <c r="Z75" i="2"/>
  <c r="AC73" i="2"/>
  <c r="Z76" i="2"/>
  <c r="Z74" i="2"/>
  <c r="T30" i="2"/>
  <c r="R97" i="1" l="1"/>
  <c r="H58" i="1"/>
  <c r="H57" i="1"/>
  <c r="M50" i="1"/>
  <c r="L50" i="1"/>
  <c r="K50" i="1"/>
  <c r="J50" i="1"/>
  <c r="I50" i="1"/>
  <c r="H56" i="1"/>
  <c r="H50" i="1"/>
  <c r="G50" i="1"/>
  <c r="M34" i="1" s="1"/>
  <c r="F50" i="1"/>
  <c r="Q4" i="1" s="1"/>
  <c r="N3" i="1"/>
  <c r="N4" i="1"/>
  <c r="N5" i="1"/>
  <c r="N6" i="1"/>
  <c r="N7" i="1"/>
  <c r="N8" i="1"/>
  <c r="N9" i="1"/>
  <c r="N10" i="1"/>
  <c r="N11" i="1"/>
  <c r="N12" i="1"/>
  <c r="N13" i="1"/>
  <c r="N2" i="1"/>
  <c r="K3" i="1"/>
  <c r="K4" i="1"/>
  <c r="K5" i="1"/>
  <c r="K6" i="1"/>
  <c r="K7" i="1"/>
  <c r="K8" i="1"/>
  <c r="K9" i="1"/>
  <c r="K10" i="1"/>
  <c r="K11" i="1"/>
  <c r="K12" i="1"/>
  <c r="K2" i="1"/>
  <c r="AB72" i="1"/>
  <c r="AB73" i="1"/>
  <c r="AB74" i="1"/>
  <c r="AB75" i="1"/>
  <c r="AB76" i="1"/>
  <c r="AB77" i="1"/>
  <c r="AB71" i="1"/>
  <c r="R71" i="1"/>
  <c r="R72" i="1"/>
  <c r="R73" i="1"/>
  <c r="R74" i="1"/>
  <c r="R75" i="1"/>
  <c r="R76" i="1"/>
  <c r="R77" i="1"/>
  <c r="S71" i="1"/>
  <c r="Y72" i="1"/>
  <c r="AA72" i="1" s="1"/>
  <c r="Y73" i="1"/>
  <c r="AA73" i="1" s="1"/>
  <c r="Y74" i="1"/>
  <c r="AA74" i="1" s="1"/>
  <c r="Y75" i="1"/>
  <c r="AA75" i="1" s="1"/>
  <c r="Y76" i="1"/>
  <c r="AA76" i="1" s="1"/>
  <c r="Y77" i="1"/>
  <c r="AA77" i="1" s="1"/>
  <c r="Y71" i="1"/>
  <c r="AA71" i="1" s="1"/>
  <c r="X72" i="1"/>
  <c r="AC72" i="1" s="1"/>
  <c r="X73" i="1"/>
  <c r="AC73" i="1" s="1"/>
  <c r="X74" i="1"/>
  <c r="AC74" i="1" s="1"/>
  <c r="X75" i="1"/>
  <c r="AC75" i="1" s="1"/>
  <c r="X76" i="1"/>
  <c r="Z76" i="1" s="1"/>
  <c r="X77" i="1"/>
  <c r="Z77" i="1" s="1"/>
  <c r="X71" i="1"/>
  <c r="AC71" i="1" s="1"/>
  <c r="T71" i="1"/>
  <c r="T72" i="1"/>
  <c r="T73" i="1"/>
  <c r="T74" i="1"/>
  <c r="T75" i="1"/>
  <c r="T76" i="1"/>
  <c r="T77" i="1"/>
  <c r="S72" i="1"/>
  <c r="S73" i="1"/>
  <c r="S74" i="1"/>
  <c r="S75" i="1"/>
  <c r="S76" i="1"/>
  <c r="S77" i="1"/>
  <c r="S53" i="1"/>
  <c r="S55" i="1"/>
  <c r="S54" i="1"/>
  <c r="Z44" i="1"/>
  <c r="Z43" i="1"/>
  <c r="Z42" i="1"/>
  <c r="Z41" i="1"/>
  <c r="Z38" i="1"/>
  <c r="Z37" i="1"/>
  <c r="Z36" i="1"/>
  <c r="W46" i="1"/>
  <c r="Z55" i="1"/>
  <c r="Z54" i="1"/>
  <c r="V56" i="1"/>
  <c r="X55" i="1"/>
  <c r="X54" i="1"/>
  <c r="V55" i="1"/>
  <c r="V54" i="1"/>
  <c r="R66" i="1"/>
  <c r="R65" i="1"/>
  <c r="W30" i="1"/>
  <c r="X3" i="1" a="1"/>
  <c r="X3" i="1" s="1"/>
  <c r="W3" i="1" a="1"/>
  <c r="W3" i="1" s="1"/>
  <c r="S30" i="1"/>
  <c r="U30" i="1" s="1"/>
  <c r="R31" i="1"/>
  <c r="R30" i="1"/>
  <c r="T8" i="1"/>
  <c r="T7" i="1"/>
  <c r="T6" i="1"/>
  <c r="T5" i="1"/>
  <c r="T4" i="1"/>
  <c r="T3" i="1"/>
  <c r="T2" i="1"/>
  <c r="U16" i="1" a="1"/>
  <c r="U16" i="1" s="1"/>
  <c r="T16" i="1" a="1"/>
  <c r="T16" i="1" s="1"/>
  <c r="V16" i="1" s="1" a="1"/>
  <c r="V16" i="1" s="1"/>
  <c r="S16" i="1" a="1"/>
  <c r="S16" i="1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3" i="1"/>
  <c r="N40" i="1"/>
  <c r="L40" i="1"/>
  <c r="K40" i="1"/>
  <c r="J40" i="1"/>
  <c r="I40" i="1"/>
  <c r="N39" i="1"/>
  <c r="L39" i="1"/>
  <c r="K39" i="1"/>
  <c r="J39" i="1"/>
  <c r="I39" i="1"/>
  <c r="N38" i="1"/>
  <c r="L38" i="1"/>
  <c r="K38" i="1"/>
  <c r="J38" i="1"/>
  <c r="I38" i="1"/>
  <c r="N37" i="1"/>
  <c r="L37" i="1"/>
  <c r="K37" i="1"/>
  <c r="J37" i="1"/>
  <c r="I37" i="1"/>
  <c r="N36" i="1"/>
  <c r="L36" i="1"/>
  <c r="K36" i="1"/>
  <c r="J36" i="1"/>
  <c r="I36" i="1"/>
  <c r="N35" i="1"/>
  <c r="L35" i="1"/>
  <c r="K35" i="1"/>
  <c r="J35" i="1"/>
  <c r="I35" i="1"/>
  <c r="N34" i="1"/>
  <c r="L34" i="1"/>
  <c r="K34" i="1"/>
  <c r="J34" i="1"/>
  <c r="I34" i="1"/>
  <c r="N33" i="1"/>
  <c r="L33" i="1"/>
  <c r="K33" i="1"/>
  <c r="J33" i="1"/>
  <c r="I33" i="1"/>
  <c r="N32" i="1"/>
  <c r="L32" i="1"/>
  <c r="K32" i="1"/>
  <c r="J32" i="1"/>
  <c r="I32" i="1"/>
  <c r="N31" i="1"/>
  <c r="L31" i="1"/>
  <c r="K31" i="1"/>
  <c r="J31" i="1"/>
  <c r="I31" i="1"/>
  <c r="N30" i="1"/>
  <c r="L30" i="1"/>
  <c r="K30" i="1"/>
  <c r="J30" i="1"/>
  <c r="I30" i="1"/>
  <c r="N29" i="1"/>
  <c r="L29" i="1"/>
  <c r="K29" i="1"/>
  <c r="J29" i="1"/>
  <c r="I29" i="1"/>
  <c r="N28" i="1"/>
  <c r="L28" i="1"/>
  <c r="K28" i="1"/>
  <c r="J28" i="1"/>
  <c r="I28" i="1"/>
  <c r="N27" i="1"/>
  <c r="L27" i="1"/>
  <c r="K27" i="1"/>
  <c r="J27" i="1"/>
  <c r="I27" i="1"/>
  <c r="N26" i="1"/>
  <c r="L26" i="1"/>
  <c r="K26" i="1"/>
  <c r="J26" i="1"/>
  <c r="I26" i="1"/>
  <c r="N25" i="1"/>
  <c r="L25" i="1"/>
  <c r="K25" i="1"/>
  <c r="J25" i="1"/>
  <c r="I25" i="1"/>
  <c r="N24" i="1"/>
  <c r="L24" i="1"/>
  <c r="K24" i="1"/>
  <c r="J24" i="1"/>
  <c r="I24" i="1"/>
  <c r="N23" i="1"/>
  <c r="L23" i="1"/>
  <c r="K23" i="1"/>
  <c r="J23" i="1"/>
  <c r="I23" i="1"/>
  <c r="N22" i="1"/>
  <c r="L22" i="1"/>
  <c r="K22" i="1"/>
  <c r="J22" i="1"/>
  <c r="I22" i="1"/>
  <c r="N21" i="1"/>
  <c r="L21" i="1"/>
  <c r="K21" i="1"/>
  <c r="J21" i="1"/>
  <c r="I21" i="1"/>
  <c r="N20" i="1"/>
  <c r="L20" i="1"/>
  <c r="K20" i="1"/>
  <c r="J20" i="1"/>
  <c r="I20" i="1"/>
  <c r="N19" i="1"/>
  <c r="L19" i="1"/>
  <c r="K19" i="1"/>
  <c r="J19" i="1"/>
  <c r="I19" i="1"/>
  <c r="N18" i="1"/>
  <c r="L18" i="1"/>
  <c r="K18" i="1"/>
  <c r="J18" i="1"/>
  <c r="I18" i="1"/>
  <c r="N17" i="1"/>
  <c r="L17" i="1"/>
  <c r="K17" i="1"/>
  <c r="J17" i="1"/>
  <c r="I17" i="1"/>
  <c r="N16" i="1"/>
  <c r="L16" i="1"/>
  <c r="K16" i="1"/>
  <c r="J16" i="1"/>
  <c r="I16" i="1"/>
  <c r="N15" i="1"/>
  <c r="L15" i="1"/>
  <c r="K15" i="1"/>
  <c r="J15" i="1"/>
  <c r="I15" i="1"/>
  <c r="N14" i="1"/>
  <c r="L14" i="1"/>
  <c r="K14" i="1"/>
  <c r="J14" i="1"/>
  <c r="I14" i="1"/>
  <c r="L13" i="1"/>
  <c r="K13" i="1"/>
  <c r="J13" i="1"/>
  <c r="I13" i="1"/>
  <c r="L12" i="1"/>
  <c r="J12" i="1"/>
  <c r="I12" i="1"/>
  <c r="L11" i="1"/>
  <c r="J11" i="1"/>
  <c r="I11" i="1"/>
  <c r="L10" i="1"/>
  <c r="J10" i="1"/>
  <c r="I10" i="1"/>
  <c r="L9" i="1"/>
  <c r="J9" i="1"/>
  <c r="I9" i="1"/>
  <c r="L8" i="1"/>
  <c r="J8" i="1"/>
  <c r="I8" i="1"/>
  <c r="L7" i="1"/>
  <c r="J7" i="1"/>
  <c r="I7" i="1"/>
  <c r="L6" i="1"/>
  <c r="J6" i="1"/>
  <c r="I6" i="1"/>
  <c r="L5" i="1"/>
  <c r="J5" i="1"/>
  <c r="I5" i="1"/>
  <c r="L4" i="1"/>
  <c r="J4" i="1"/>
  <c r="I4" i="1"/>
  <c r="L3" i="1"/>
  <c r="J3" i="1"/>
  <c r="I3" i="1"/>
  <c r="L2" i="1"/>
  <c r="J2" i="1"/>
  <c r="O2" i="1" s="1"/>
  <c r="I2" i="1"/>
  <c r="Z71" i="1" l="1"/>
  <c r="Z72" i="1"/>
  <c r="Z73" i="1"/>
  <c r="Z74" i="1"/>
  <c r="Z75" i="1"/>
  <c r="M18" i="1"/>
  <c r="M31" i="1"/>
  <c r="M3" i="1"/>
  <c r="M26" i="1"/>
  <c r="M30" i="1"/>
  <c r="M39" i="1"/>
  <c r="M35" i="1"/>
  <c r="M22" i="1"/>
  <c r="M8" i="1"/>
  <c r="M14" i="1"/>
  <c r="M27" i="1"/>
  <c r="Q6" i="1"/>
  <c r="M23" i="1"/>
  <c r="M2" i="1"/>
  <c r="M19" i="1"/>
  <c r="M9" i="1"/>
  <c r="Q7" i="1"/>
  <c r="M15" i="1"/>
  <c r="M29" i="1"/>
  <c r="M25" i="1"/>
  <c r="M37" i="1"/>
  <c r="M33" i="1"/>
  <c r="M21" i="1"/>
  <c r="M17" i="1"/>
  <c r="M38" i="1"/>
  <c r="M13" i="1"/>
  <c r="Q5" i="1"/>
  <c r="M10" i="1"/>
  <c r="M5" i="1"/>
  <c r="M4" i="1"/>
  <c r="Q3" i="1"/>
  <c r="M16" i="1"/>
  <c r="M20" i="1"/>
  <c r="M24" i="1"/>
  <c r="M28" i="1"/>
  <c r="M32" i="1"/>
  <c r="M36" i="1"/>
  <c r="M40" i="1"/>
  <c r="M6" i="1"/>
  <c r="M11" i="1"/>
  <c r="M7" i="1"/>
  <c r="M12" i="1"/>
  <c r="AC77" i="1"/>
  <c r="AC76" i="1"/>
  <c r="T30" i="1"/>
  <c r="V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<sst xmlns="http://schemas.openxmlformats.org/spreadsheetml/2006/main" count="1266" uniqueCount="295">
  <si>
    <t>Country</t>
  </si>
  <si>
    <t>Region</t>
  </si>
  <si>
    <t>Year</t>
  </si>
  <si>
    <t>Infant_deaths</t>
  </si>
  <si>
    <t>Under_five_deaths</t>
  </si>
  <si>
    <t>Adult_mortality</t>
  </si>
  <si>
    <t>BMI</t>
  </si>
  <si>
    <t>Life_expectancy</t>
  </si>
  <si>
    <t>round</t>
  </si>
  <si>
    <t>sqrt</t>
  </si>
  <si>
    <t>left</t>
  </si>
  <si>
    <t>right</t>
  </si>
  <si>
    <t>rank</t>
  </si>
  <si>
    <t>len</t>
  </si>
  <si>
    <t>Middle East</t>
  </si>
  <si>
    <t>European Union</t>
  </si>
  <si>
    <t>Asia</t>
  </si>
  <si>
    <t>South America</t>
  </si>
  <si>
    <t>min</t>
  </si>
  <si>
    <t>max</t>
  </si>
  <si>
    <t>Central America and Caribbean</t>
  </si>
  <si>
    <t xml:space="preserve"> sum BMI</t>
  </si>
  <si>
    <t>Rest of Europe</t>
  </si>
  <si>
    <t>average BMI</t>
  </si>
  <si>
    <t>median BMI</t>
  </si>
  <si>
    <t>Jordan</t>
  </si>
  <si>
    <t>Malta</t>
  </si>
  <si>
    <t>Bahamas, The</t>
  </si>
  <si>
    <t>Ukraine</t>
  </si>
  <si>
    <t>Switzerland</t>
  </si>
  <si>
    <t>Norway</t>
  </si>
  <si>
    <t>Finland</t>
  </si>
  <si>
    <t>Comoros</t>
  </si>
  <si>
    <t>Africa</t>
  </si>
  <si>
    <t>Japan</t>
  </si>
  <si>
    <t>Gabon</t>
  </si>
  <si>
    <t>Ghana</t>
  </si>
  <si>
    <t>Philippines</t>
  </si>
  <si>
    <t>Congo, Rep.</t>
  </si>
  <si>
    <t>Madagascar</t>
  </si>
  <si>
    <t>Estonia</t>
  </si>
  <si>
    <t>Belize</t>
  </si>
  <si>
    <t>Kazakhstan</t>
  </si>
  <si>
    <t>Cameroon</t>
  </si>
  <si>
    <t>Zimbabwe</t>
  </si>
  <si>
    <t>Bhutan</t>
  </si>
  <si>
    <t>South Africa</t>
  </si>
  <si>
    <t>Eritrea</t>
  </si>
  <si>
    <t>Germany</t>
  </si>
  <si>
    <t>Saudi Arabia</t>
  </si>
  <si>
    <t>Kiribati</t>
  </si>
  <si>
    <t>Oceania</t>
  </si>
  <si>
    <t>Seychelles</t>
  </si>
  <si>
    <t>round squre</t>
  </si>
  <si>
    <t>ADVANCE EXCEL</t>
  </si>
  <si>
    <t>today</t>
  </si>
  <si>
    <t>EOMONTH</t>
  </si>
  <si>
    <t>net work</t>
  </si>
  <si>
    <t>weekday</t>
  </si>
  <si>
    <t>year</t>
  </si>
  <si>
    <t>month</t>
  </si>
  <si>
    <t>day</t>
  </si>
  <si>
    <t>TEXT FUNCTIONS</t>
  </si>
  <si>
    <t>replace</t>
  </si>
  <si>
    <t>mid</t>
  </si>
  <si>
    <t>find</t>
  </si>
  <si>
    <t xml:space="preserve">European </t>
  </si>
  <si>
    <t>search</t>
  </si>
  <si>
    <t>concatenate</t>
  </si>
  <si>
    <t>sub-new</t>
  </si>
  <si>
    <t>product</t>
  </si>
  <si>
    <t>fact</t>
  </si>
  <si>
    <t>mod</t>
  </si>
  <si>
    <t>roundup</t>
  </si>
  <si>
    <t>rounddown</t>
  </si>
  <si>
    <t>sumif</t>
  </si>
  <si>
    <t>Date</t>
  </si>
  <si>
    <t>Product</t>
  </si>
  <si>
    <t>Color</t>
  </si>
  <si>
    <t>Value</t>
  </si>
  <si>
    <t>Laptop</t>
  </si>
  <si>
    <t>Black</t>
  </si>
  <si>
    <t>South</t>
  </si>
  <si>
    <t>Mobile</t>
  </si>
  <si>
    <t>Blue</t>
  </si>
  <si>
    <t>North</t>
  </si>
  <si>
    <t>Tablet</t>
  </si>
  <si>
    <t>White</t>
  </si>
  <si>
    <t>East</t>
  </si>
  <si>
    <t>Red</t>
  </si>
  <si>
    <t>West</t>
  </si>
  <si>
    <t>total</t>
  </si>
  <si>
    <t>red</t>
  </si>
  <si>
    <t>Black+soutn</t>
  </si>
  <si>
    <t>laptop+black+south</t>
  </si>
  <si>
    <t>sumifs</t>
  </si>
  <si>
    <t>avg</t>
  </si>
  <si>
    <t>avgif</t>
  </si>
  <si>
    <t>blue</t>
  </si>
  <si>
    <t>avgifs</t>
  </si>
  <si>
    <t>white+east</t>
  </si>
  <si>
    <t>blue+mobile+north</t>
  </si>
  <si>
    <t>round-product</t>
  </si>
  <si>
    <t>sum</t>
  </si>
  <si>
    <t>VLOOKUP</t>
  </si>
  <si>
    <t>HLOOKUP</t>
  </si>
  <si>
    <t>black</t>
  </si>
  <si>
    <t>MATCH</t>
  </si>
  <si>
    <t>laptop</t>
  </si>
  <si>
    <t>INDEX</t>
  </si>
  <si>
    <t>white</t>
  </si>
  <si>
    <t>01-01-2026</t>
  </si>
  <si>
    <t>02-01-2026</t>
  </si>
  <si>
    <t>03-01-2026</t>
  </si>
  <si>
    <t>04-01-2026</t>
  </si>
  <si>
    <t>05-01-2026</t>
  </si>
  <si>
    <t>06-01-2026</t>
  </si>
  <si>
    <t>07-01-2026</t>
  </si>
  <si>
    <t>08-01-2026</t>
  </si>
  <si>
    <t>09-01-2026</t>
  </si>
  <si>
    <t>10-01-2026</t>
  </si>
  <si>
    <t>XLOOPUP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</si>
  <si>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</si>
  <si>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AGE</t>
  </si>
  <si>
    <t>IF</t>
  </si>
  <si>
    <t>IFELSE</t>
  </si>
  <si>
    <t>sub1</t>
  </si>
  <si>
    <t>sub2</t>
  </si>
  <si>
    <t>AND</t>
  </si>
  <si>
    <t>OR</t>
  </si>
  <si>
    <t>result AND</t>
  </si>
  <si>
    <t>reslut OR</t>
  </si>
  <si>
    <t>XOR</t>
  </si>
  <si>
    <t>NOT(AND)</t>
  </si>
  <si>
    <t>IFELSE LADER</t>
  </si>
  <si>
    <t>CONDITIONAL FUNC</t>
  </si>
  <si>
    <t>LOGICAL FUNC</t>
  </si>
  <si>
    <t>LOOKUP FUNC</t>
  </si>
  <si>
    <t>STATISTICAL FUNC</t>
  </si>
  <si>
    <t>COUNT</t>
  </si>
  <si>
    <t>COUNTA</t>
  </si>
  <si>
    <t>COUNTBLANK</t>
  </si>
  <si>
    <t>COUNTIFS</t>
  </si>
  <si>
    <t>Sno</t>
  </si>
  <si>
    <t>MEAN</t>
  </si>
  <si>
    <t>MEDIAN</t>
  </si>
  <si>
    <t>MODE</t>
  </si>
  <si>
    <t>CORREL</t>
  </si>
  <si>
    <t>STDEV</t>
  </si>
  <si>
    <t>CRITERIA</t>
  </si>
  <si>
    <t>asia</t>
  </si>
  <si>
    <t>eurpean union</t>
  </si>
  <si>
    <t>IMAGES IN EXCEL</t>
  </si>
  <si>
    <t>COMPANY</t>
  </si>
  <si>
    <t>LOGO</t>
  </si>
  <si>
    <t>SALES</t>
  </si>
  <si>
    <t>GOOGLE</t>
  </si>
  <si>
    <t>NIKE</t>
  </si>
  <si>
    <t>NETFLIX</t>
  </si>
  <si>
    <t>AMAZON</t>
  </si>
  <si>
    <t>FORMATING</t>
  </si>
  <si>
    <t>Project Name</t>
  </si>
  <si>
    <t>Task Name</t>
  </si>
  <si>
    <t>Assigned to</t>
  </si>
  <si>
    <t>Start Date</t>
  </si>
  <si>
    <t>Days Required</t>
  </si>
  <si>
    <t>End Date</t>
  </si>
  <si>
    <t>Progress</t>
  </si>
  <si>
    <t>Marketing</t>
  </si>
  <si>
    <t>Market Research</t>
  </si>
  <si>
    <t>Alice</t>
  </si>
  <si>
    <t>Content Creation</t>
  </si>
  <si>
    <t>Bob</t>
  </si>
  <si>
    <t>Social Media Planning</t>
  </si>
  <si>
    <t>Charlie</t>
  </si>
  <si>
    <t>Campaign Analysis</t>
  </si>
  <si>
    <t>Daisy</t>
  </si>
  <si>
    <t>Product Dev</t>
  </si>
  <si>
    <t>Prototype Development</t>
  </si>
  <si>
    <t>Ethan</t>
  </si>
  <si>
    <t>Quality Assurance</t>
  </si>
  <si>
    <t>Fiona</t>
  </si>
  <si>
    <t>User Interface Design</t>
  </si>
  <si>
    <t>Gabriel</t>
  </si>
  <si>
    <t>Customer Svc</t>
  </si>
  <si>
    <t>Service Improvement</t>
  </si>
  <si>
    <t>Hannah</t>
  </si>
  <si>
    <t>Ticket Resolution</t>
  </si>
  <si>
    <t>Ian</t>
  </si>
  <si>
    <t>Customer Feedback</t>
  </si>
  <si>
    <t>Julia</t>
  </si>
  <si>
    <t>Financial</t>
  </si>
  <si>
    <t>Budget Analysis</t>
  </si>
  <si>
    <t>Kevin</t>
  </si>
  <si>
    <t>Financial Reporting</t>
  </si>
  <si>
    <t>Mark</t>
  </si>
  <si>
    <t>Investment Planning</t>
  </si>
  <si>
    <t>Research</t>
  </si>
  <si>
    <t>Market Trends Analysis</t>
  </si>
  <si>
    <t>Nathan</t>
  </si>
  <si>
    <t>Data Collection</t>
  </si>
  <si>
    <t>Olivia</t>
  </si>
  <si>
    <t>Research Paper Writing</t>
  </si>
  <si>
    <t>Peter</t>
  </si>
  <si>
    <t>Development</t>
  </si>
  <si>
    <t>Software Development</t>
  </si>
  <si>
    <t>Quinn</t>
  </si>
  <si>
    <t>Feature Enhancement</t>
  </si>
  <si>
    <t>Rachel</t>
  </si>
  <si>
    <t>Code Review</t>
  </si>
  <si>
    <t>Sam</t>
  </si>
  <si>
    <t>Production</t>
  </si>
  <si>
    <t>Manufacturing</t>
  </si>
  <si>
    <t>Tim</t>
  </si>
  <si>
    <t>Budget (₹)</t>
  </si>
  <si>
    <t>AFTER</t>
  </si>
  <si>
    <t>Number</t>
  </si>
  <si>
    <t>#.0</t>
  </si>
  <si>
    <t>#.000</t>
  </si>
  <si>
    <t>MATH FUNC</t>
  </si>
  <si>
    <t>TEXT FUNC</t>
  </si>
  <si>
    <t>remove Zeros</t>
  </si>
  <si>
    <t>remove negtives</t>
  </si>
  <si>
    <t>negitives</t>
  </si>
  <si>
    <t>negarives with text</t>
  </si>
  <si>
    <t>positive with text</t>
  </si>
  <si>
    <t>remove positives</t>
  </si>
  <si>
    <t>Work Done</t>
  </si>
  <si>
    <t>done</t>
  </si>
  <si>
    <t>not done</t>
  </si>
  <si>
    <t>HOW TO TAKE INTERVALS</t>
  </si>
  <si>
    <t xml:space="preserve">with ' </t>
  </si>
  <si>
    <t>10-20</t>
  </si>
  <si>
    <t>text</t>
  </si>
  <si>
    <t>separate coloumnss</t>
  </si>
  <si>
    <t>start</t>
  </si>
  <si>
    <t>end</t>
  </si>
  <si>
    <t>formula(=10"-"20)</t>
  </si>
  <si>
    <t>custom format(0"-20")</t>
  </si>
  <si>
    <t>STATISTICAL ANLYSIS</t>
  </si>
  <si>
    <t>Student_ID</t>
  </si>
  <si>
    <t>Gender</t>
  </si>
  <si>
    <t>Age</t>
  </si>
  <si>
    <t>Attendance</t>
  </si>
  <si>
    <t>Study_Hours</t>
  </si>
  <si>
    <t>Assignment</t>
  </si>
  <si>
    <t>Midterm</t>
  </si>
  <si>
    <t>Final_Exam</t>
  </si>
  <si>
    <t>Overall_%</t>
  </si>
  <si>
    <t>S001</t>
  </si>
  <si>
    <t>Male</t>
  </si>
  <si>
    <t>S002</t>
  </si>
  <si>
    <t>Female</t>
  </si>
  <si>
    <t>S003</t>
  </si>
  <si>
    <t>S004</t>
  </si>
  <si>
    <t>S005</t>
  </si>
  <si>
    <t>S006</t>
  </si>
  <si>
    <t>S007</t>
  </si>
  <si>
    <t>S008</t>
  </si>
  <si>
    <t>S009</t>
  </si>
  <si>
    <t>S010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</si>
  <si>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</si>
  <si>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</si>
  <si>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</si>
  <si>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</si>
  <si>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</si>
  <si>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</si>
  <si>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</si>
  <si>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</si>
  <si>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</si>
  <si>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</si>
  <si>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</si>
  <si>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</si>
  <si>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</si>
  <si>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</si>
  <si>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</si>
  <si>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</si>
  <si>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</si>
  <si>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</si>
  <si>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Corelation</t>
  </si>
  <si>
    <t>Anova: Two-Factor With Replication</t>
  </si>
  <si>
    <t>Sample</t>
  </si>
  <si>
    <t>Columns</t>
  </si>
  <si>
    <t>Interaction</t>
  </si>
  <si>
    <t>Within</t>
  </si>
  <si>
    <t>Anova: Two-Factor Without Replication</t>
  </si>
  <si>
    <t>Rows</t>
  </si>
  <si>
    <t>Error</t>
  </si>
  <si>
    <t>Mean</t>
  </si>
  <si>
    <t>Median</t>
  </si>
  <si>
    <t>Mode</t>
  </si>
  <si>
    <t>Std devation</t>
  </si>
  <si>
    <t>Product A</t>
  </si>
  <si>
    <t>Product B</t>
  </si>
  <si>
    <t>Product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</si>
</sst>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#.0"/>
    <numFmt numFmtId="165" formatCode="0.000"/>
    <numFmt numFmtId="166" formatCode="0.0"/>
    <numFmt numFmtId="167" formatCode="#.000"/>
    <numFmt numFmtId="168" formatCode="#,##0;"/>
    <numFmt numFmtId="169" formatCode="#,##0;\-#,##0&quot; Negative&quot;"/>
    <numFmt numFmtId="170" formatCode=";\-#,##0;"/>
    <numFmt numFmtId="171" formatCode="#,##0&quot; positive&quot;;\-#,##0"/>
    <numFmt numFmtId="172" formatCode="\10&quot;-&quot;\20"/>
  </numFmts>
  <fonts count="2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i/>
      <sz val="12"/>
      <color rgb="FFFFFFFF"/>
      <name val="Book Antiqua"/>
      <family val="1"/>
    </font>
    <font>
      <sz val="11"/>
      <color rgb="FF000000"/>
      <name val="Calibri"/>
      <family val="2"/>
    </font>
    <font>
      <b/>
      <i/>
      <sz val="20"/>
      <color theme="0"/>
      <name val="Algerian"/>
      <family val="5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F119F"/>
        <bgColor indexed="64"/>
      </patternFill>
    </fill>
    <fill>
      <patternFill patternType="solid">
        <fgColor rgb="FFDF7BCA"/>
        <bgColor indexed="64"/>
      </patternFill>
    </fill>
    <fill>
      <patternFill patternType="solid">
        <fgColor rgb="FF272760"/>
        <bgColor indexed="64"/>
      </patternFill>
    </fill>
    <fill>
      <gradientFill degree="45">
        <stop position="0">
          <color theme="0"/>
        </stop>
        <stop position="1">
          <color rgb="FFDCC9F7"/>
        </stop>
      </gradientFill>
    </fill>
    <fill>
      <gradientFill degree="180">
        <stop position="0">
          <color theme="0"/>
        </stop>
        <stop position="1">
          <color theme="4"/>
        </stop>
      </gradientFill>
    </fill>
    <fill>
      <patternFill patternType="solid">
        <fgColor rgb="FFA586BC"/>
        <bgColor indexed="64"/>
      </patternFill>
    </fill>
    <fill>
      <patternFill patternType="solid">
        <fgColor rgb="FF92D050"/>
        <bgColor indexed="64"/>
      </patternFill>
    </fill>
    <fill>
      <gradientFill degree="90">
        <stop position="0">
          <color theme="0"/>
        </stop>
        <stop position="1">
          <color theme="9" tint="0.59999389629810485"/>
        </stop>
      </gradientFill>
    </fill>
    <fill>
      <patternFill patternType="solid">
        <fgColor rgb="FF4E9852"/>
        <bgColor indexed="64"/>
      </patternFill>
    </fill>
    <fill>
      <gradientFill degree="135">
        <stop position="0">
          <color theme="0"/>
        </stop>
        <stop position="1">
          <color theme="4" tint="0.40000610370189521"/>
        </stop>
      </gradientFill>
    </fill>
    <fill>
      <gradientFill degree="135">
        <stop position="0">
          <color theme="0"/>
        </stop>
        <stop position="1">
          <color theme="5" tint="0.59999389629810485"/>
        </stop>
      </gradient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gradientFill degree="135">
        <stop position="0">
          <color theme="0"/>
        </stop>
        <stop position="1">
          <color rgb="FF9656C6"/>
        </stop>
      </gradientFill>
    </fill>
  </fills>
  <borders count="16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</borders>
  <cellStyleXfs count="6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  <xf numFmtId="0" fontId="2" fillId="4" borderId="0" applyNumberFormat="0" applyBorder="0" applyAlignment="0" applyProtection="0"/>
    <xf numFmtId="0" fontId="10" fillId="16" borderId="0" applyNumberFormat="0" applyBorder="0" applyAlignment="0" applyProtection="0"/>
    <xf numFmtId="0" fontId="16" fillId="0" borderId="11" applyNumberFormat="0" applyFill="0" applyAlignment="0" applyProtection="0"/>
  </cellStyleXfs>
  <cellXfs count="112">
    <xf numFmtId="0" fontId="0" fillId="0" borderId="0" xfId="0"/>
    <xf numFmtId="0" fontId="1" fillId="0" borderId="0" xfId="0" applyFont="1"/>
    <xf numFmtId="0" fontId="5" fillId="0" borderId="0" xfId="0" applyFont="1"/>
    <xf numFmtId="0" fontId="0" fillId="6" borderId="0" xfId="0" applyFill="1"/>
    <xf numFmtId="0" fontId="0" fillId="8" borderId="0" xfId="0" applyFill="1"/>
    <xf numFmtId="14" fontId="0" fillId="8" borderId="0" xfId="0" applyNumberFormat="1" applyFill="1"/>
    <xf numFmtId="0" fontId="5" fillId="0" borderId="0" xfId="0" applyFont="1" applyAlignment="1">
      <alignment horizontal="center" vertical="center" wrapText="1"/>
    </xf>
    <xf numFmtId="0" fontId="7" fillId="11" borderId="0" xfId="0" applyFont="1" applyFill="1"/>
    <xf numFmtId="0" fontId="6" fillId="11" borderId="0" xfId="0" applyFont="1" applyFill="1"/>
    <xf numFmtId="0" fontId="0" fillId="13" borderId="0" xfId="0" applyFill="1"/>
    <xf numFmtId="0" fontId="0" fillId="0" borderId="6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9" fillId="15" borderId="3" xfId="0" applyFont="1" applyFill="1" applyBorder="1"/>
    <xf numFmtId="0" fontId="9" fillId="15" borderId="4" xfId="0" applyFont="1" applyFill="1" applyBorder="1"/>
    <xf numFmtId="0" fontId="9" fillId="15" borderId="5" xfId="0" applyFont="1" applyFill="1" applyBorder="1"/>
    <xf numFmtId="0" fontId="6" fillId="14" borderId="3" xfId="0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0" fillId="0" borderId="5" xfId="0" applyBorder="1"/>
    <xf numFmtId="0" fontId="1" fillId="17" borderId="2" xfId="0" applyFont="1" applyFill="1" applyBorder="1"/>
    <xf numFmtId="0" fontId="0" fillId="18" borderId="2" xfId="0" applyFill="1" applyBorder="1"/>
    <xf numFmtId="14" fontId="0" fillId="0" borderId="2" xfId="0" applyNumberFormat="1" applyBorder="1"/>
    <xf numFmtId="0" fontId="0" fillId="7" borderId="2" xfId="0" applyFill="1" applyBorder="1"/>
    <xf numFmtId="0" fontId="5" fillId="9" borderId="2" xfId="0" applyFont="1" applyFill="1" applyBorder="1"/>
    <xf numFmtId="0" fontId="0" fillId="12" borderId="2" xfId="0" applyFill="1" applyBorder="1"/>
    <xf numFmtId="0" fontId="8" fillId="10" borderId="3" xfId="0" applyFont="1" applyFill="1" applyBorder="1" applyAlignment="1">
      <alignment horizontal="center" vertical="center" wrapText="1"/>
    </xf>
    <xf numFmtId="0" fontId="8" fillId="10" borderId="4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4" fillId="3" borderId="7" xfId="2" applyBorder="1" applyAlignment="1">
      <alignment vertical="center" wrapText="1"/>
    </xf>
    <xf numFmtId="0" fontId="2" fillId="4" borderId="7" xfId="3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3" fillId="2" borderId="7" xfId="1" applyBorder="1" applyAlignment="1">
      <alignment vertical="center" wrapText="1"/>
    </xf>
    <xf numFmtId="14" fontId="0" fillId="0" borderId="8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2" fillId="4" borderId="10" xfId="3" applyBorder="1" applyAlignment="1">
      <alignment vertical="center" wrapText="1"/>
    </xf>
    <xf numFmtId="0" fontId="7" fillId="11" borderId="2" xfId="0" applyFont="1" applyFill="1" applyBorder="1"/>
    <xf numFmtId="0" fontId="0" fillId="7" borderId="2" xfId="0" applyFill="1" applyBorder="1" applyAlignment="1">
      <alignment vertical="center" wrapText="1"/>
    </xf>
    <xf numFmtId="0" fontId="0" fillId="10" borderId="3" xfId="0" applyFill="1" applyBorder="1"/>
    <xf numFmtId="0" fontId="0" fillId="0" borderId="4" xfId="0" applyBorder="1"/>
    <xf numFmtId="0" fontId="5" fillId="10" borderId="6" xfId="0" applyFont="1" applyFill="1" applyBorder="1" applyAlignment="1">
      <alignment horizontal="center" vertical="center" wrapText="1"/>
    </xf>
    <xf numFmtId="0" fontId="5" fillId="10" borderId="8" xfId="0" applyFont="1" applyFill="1" applyBorder="1" applyAlignment="1">
      <alignment horizontal="center" vertical="center" wrapText="1"/>
    </xf>
    <xf numFmtId="0" fontId="4" fillId="3" borderId="9" xfId="2" applyBorder="1" applyAlignment="1">
      <alignment vertical="center" wrapText="1"/>
    </xf>
    <xf numFmtId="0" fontId="2" fillId="4" borderId="9" xfId="3" applyBorder="1" applyAlignment="1">
      <alignment vertical="center" wrapText="1"/>
    </xf>
    <xf numFmtId="0" fontId="3" fillId="2" borderId="9" xfId="1" applyBorder="1" applyAlignment="1">
      <alignment vertical="center" wrapText="1"/>
    </xf>
    <xf numFmtId="0" fontId="11" fillId="5" borderId="0" xfId="0" applyFont="1" applyFill="1"/>
    <xf numFmtId="0" fontId="1" fillId="19" borderId="2" xfId="0" applyFont="1" applyFill="1" applyBorder="1"/>
    <xf numFmtId="0" fontId="5" fillId="19" borderId="0" xfId="0" applyFont="1" applyFill="1"/>
    <xf numFmtId="0" fontId="3" fillId="2" borderId="2" xfId="1" applyBorder="1"/>
    <xf numFmtId="0" fontId="10" fillId="16" borderId="2" xfId="4" applyBorder="1"/>
    <xf numFmtId="0" fontId="10" fillId="16" borderId="9" xfId="4" applyBorder="1"/>
    <xf numFmtId="0" fontId="15" fillId="20" borderId="2" xfId="0" applyFont="1" applyFill="1" applyBorder="1" applyAlignment="1">
      <alignment vertical="center"/>
    </xf>
    <xf numFmtId="0" fontId="13" fillId="0" borderId="2" xfId="0" applyFont="1" applyBorder="1" applyAlignment="1">
      <alignment vertical="center"/>
    </xf>
    <xf numFmtId="3" fontId="12" fillId="0" borderId="2" xfId="0" applyNumberFormat="1" applyFont="1" applyBorder="1" applyAlignment="1">
      <alignment vertical="center"/>
    </xf>
    <xf numFmtId="0" fontId="14" fillId="21" borderId="0" xfId="0" applyFont="1" applyFill="1"/>
    <xf numFmtId="0" fontId="17" fillId="22" borderId="2" xfId="0" applyFont="1" applyFill="1" applyBorder="1" applyAlignment="1">
      <alignment horizontal="left" vertical="center"/>
    </xf>
    <xf numFmtId="0" fontId="18" fillId="23" borderId="2" xfId="0" applyFont="1" applyFill="1" applyBorder="1" applyAlignment="1">
      <alignment horizontal="left" vertical="center"/>
    </xf>
    <xf numFmtId="14" fontId="18" fillId="23" borderId="2" xfId="0" applyNumberFormat="1" applyFont="1" applyFill="1" applyBorder="1" applyAlignment="1">
      <alignment horizontal="left" vertical="center"/>
    </xf>
    <xf numFmtId="0" fontId="18" fillId="23" borderId="2" xfId="0" applyFont="1" applyFill="1" applyBorder="1" applyAlignment="1">
      <alignment horizontal="right" vertical="center"/>
    </xf>
    <xf numFmtId="9" fontId="16" fillId="24" borderId="11" xfId="5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17" fillId="22" borderId="12" xfId="0" applyFont="1" applyFill="1" applyBorder="1" applyAlignment="1">
      <alignment horizontal="left" vertical="center"/>
    </xf>
    <xf numFmtId="3" fontId="18" fillId="23" borderId="2" xfId="0" applyNumberFormat="1" applyFont="1" applyFill="1" applyBorder="1" applyAlignment="1">
      <alignment horizontal="left" vertical="center"/>
    </xf>
    <xf numFmtId="0" fontId="0" fillId="25" borderId="0" xfId="0" applyFill="1" applyAlignment="1">
      <alignment horizontal="left"/>
    </xf>
    <xf numFmtId="0" fontId="19" fillId="25" borderId="0" xfId="0" applyFont="1" applyFill="1" applyAlignment="1">
      <alignment horizontal="left" vertical="center"/>
    </xf>
    <xf numFmtId="0" fontId="0" fillId="25" borderId="0" xfId="0" applyFill="1"/>
    <xf numFmtId="166" fontId="0" fillId="0" borderId="2" xfId="0" applyNumberFormat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167" fontId="0" fillId="0" borderId="2" xfId="0" applyNumberFormat="1" applyBorder="1"/>
    <xf numFmtId="3" fontId="0" fillId="0" borderId="2" xfId="0" applyNumberFormat="1" applyBorder="1"/>
    <xf numFmtId="168" fontId="0" fillId="0" borderId="2" xfId="0" applyNumberFormat="1" applyBorder="1"/>
    <xf numFmtId="38" fontId="0" fillId="0" borderId="2" xfId="0" applyNumberFormat="1" applyBorder="1"/>
    <xf numFmtId="169" fontId="0" fillId="0" borderId="2" xfId="0" applyNumberFormat="1" applyBorder="1"/>
    <xf numFmtId="170" fontId="0" fillId="0" borderId="2" xfId="0" applyNumberFormat="1" applyBorder="1"/>
    <xf numFmtId="0" fontId="0" fillId="26" borderId="2" xfId="0" applyFill="1" applyBorder="1" applyAlignment="1">
      <alignment horizontal="right"/>
    </xf>
    <xf numFmtId="166" fontId="0" fillId="26" borderId="2" xfId="0" applyNumberFormat="1" applyFill="1" applyBorder="1"/>
    <xf numFmtId="2" fontId="0" fillId="26" borderId="2" xfId="0" applyNumberFormat="1" applyFill="1" applyBorder="1"/>
    <xf numFmtId="165" fontId="0" fillId="26" borderId="2" xfId="0" applyNumberFormat="1" applyFill="1" applyBorder="1"/>
    <xf numFmtId="0" fontId="0" fillId="26" borderId="2" xfId="0" applyFill="1" applyBorder="1"/>
    <xf numFmtId="0" fontId="0" fillId="27" borderId="2" xfId="0" applyFill="1" applyBorder="1"/>
    <xf numFmtId="171" fontId="0" fillId="0" borderId="2" xfId="0" applyNumberFormat="1" applyBorder="1"/>
    <xf numFmtId="0" fontId="0" fillId="28" borderId="0" xfId="0" applyFill="1"/>
    <xf numFmtId="0" fontId="0" fillId="0" borderId="2" xfId="0" quotePrefix="1" applyBorder="1"/>
    <xf numFmtId="49" fontId="0" fillId="0" borderId="2" xfId="0" applyNumberFormat="1" applyBorder="1"/>
    <xf numFmtId="172" fontId="0" fillId="0" borderId="2" xfId="0" applyNumberFormat="1" applyBorder="1"/>
    <xf numFmtId="0" fontId="0" fillId="29" borderId="2" xfId="0" applyFill="1" applyBorder="1"/>
    <xf numFmtId="0" fontId="0" fillId="29" borderId="7" xfId="0" applyFill="1" applyBorder="1"/>
    <xf numFmtId="0" fontId="0" fillId="30" borderId="2" xfId="0" applyFill="1" applyBorder="1"/>
    <xf numFmtId="0" fontId="14" fillId="31" borderId="0" xfId="0" applyFont="1" applyFill="1" applyAlignment="1">
      <alignment vertical="center"/>
    </xf>
    <xf numFmtId="1" fontId="0" fillId="0" borderId="0" xfId="0" applyNumberFormat="1" applyAlignment="1">
      <alignment vertical="center" wrapText="1"/>
    </xf>
    <xf numFmtId="0" fontId="0" fillId="0" borderId="13" xfId="0" applyBorder="1"/>
    <xf numFmtId="0" fontId="21" fillId="0" borderId="14" xfId="0" applyFont="1" applyBorder="1" applyAlignment="1">
      <alignment horizontal="center"/>
    </xf>
    <xf numFmtId="0" fontId="0" fillId="32" borderId="0" xfId="0" applyFill="1"/>
    <xf numFmtId="0" fontId="11" fillId="32" borderId="0" xfId="0" applyFont="1" applyFill="1"/>
    <xf numFmtId="0" fontId="22" fillId="32" borderId="0" xfId="0" applyFont="1" applyFill="1"/>
    <xf numFmtId="0" fontId="23" fillId="32" borderId="0" xfId="0" applyFont="1" applyFill="1" applyAlignment="1">
      <alignment horizontal="center" vertical="center" wrapText="1"/>
    </xf>
    <xf numFmtId="0" fontId="24" fillId="0" borderId="15" xfId="0" applyFont="1" applyBorder="1" applyAlignment="1">
      <alignment horizontal="right"/>
    </xf>
    <xf numFmtId="0" fontId="5" fillId="0" borderId="2" xfId="0" applyFont="1" applyBorder="1" applyAlignment="1">
      <alignment horizontal="center" vertical="center" wrapText="1"/>
    </xf>
    <xf numFmtId="1" fontId="0" fillId="0" borderId="2" xfId="0" applyNumberFormat="1" applyBorder="1" applyAlignment="1">
      <alignment vertical="center" wrapText="1"/>
    </xf>
    <xf numFmtId="0" fontId="5" fillId="33" borderId="2" xfId="0" applyFont="1" applyFill="1" applyBorder="1" applyAlignment="1">
      <alignment horizontal="center" vertical="center" wrapText="1"/>
    </xf>
    <xf numFmtId="0" fontId="25" fillId="32" borderId="0" xfId="0" applyFont="1" applyFill="1"/>
    <xf numFmtId="0" fontId="0" fillId="0" borderId="0" xfId="0" applyFill="1" applyBorder="1" applyAlignment="1"/>
    <xf numFmtId="0" fontId="24" fillId="0" borderId="15" xfId="0" applyFont="1" applyFill="1" applyBorder="1" applyAlignment="1">
      <alignment horizontal="right"/>
    </xf>
    <xf numFmtId="0" fontId="0" fillId="0" borderId="13" xfId="0" applyFill="1" applyBorder="1" applyAlignment="1"/>
    <xf numFmtId="0" fontId="21" fillId="0" borderId="14" xfId="0" applyFont="1" applyFill="1" applyBorder="1" applyAlignment="1">
      <alignment horizontal="center"/>
    </xf>
  </cellXfs>
  <cellStyles count="6">
    <cellStyle name="60% - Accent1" xfId="3" builtinId="32"/>
    <cellStyle name="Bad" xfId="1" builtinId="27"/>
    <cellStyle name="Check Cell" xfId="2" builtinId="23"/>
    <cellStyle name="Good" xfId="4" builtinId="26"/>
    <cellStyle name="Heading 2" xfId="5" builtinId="17"/>
    <cellStyle name="Normal" xfId="0" builtinId="0"/>
  </cellStyles>
  <dxfs count="122">
    <dxf>
      <fill>
        <gradientFill degree="135">
          <stop position="0">
            <color theme="0"/>
          </stop>
          <stop position="1">
            <color rgb="FFA0CC94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gradientFill degree="135">
          <stop position="0">
            <color theme="0"/>
          </stop>
          <stop position="1">
            <color rgb="FF408442"/>
          </stop>
        </gradientFill>
      </fill>
    </dxf>
    <dxf>
      <fill>
        <gradientFill degree="135">
          <stop position="0">
            <color theme="0"/>
          </stop>
          <stop position="1">
            <color rgb="FF5E69CE"/>
          </stop>
        </gradientFill>
      </fill>
    </dxf>
    <dxf>
      <fill>
        <gradientFill degree="45">
          <stop position="0">
            <color theme="0"/>
          </stop>
          <stop position="1">
            <color rgb="FFFF5D5D"/>
          </stop>
        </gradientFill>
      </fill>
    </dxf>
    <dxf>
      <fill>
        <gradientFill degree="135">
          <stop position="0">
            <color theme="0"/>
          </stop>
          <stop position="1">
            <color theme="9" tint="0.40000610370189521"/>
          </stop>
        </gradientFill>
      </fill>
    </dxf>
    <dxf>
      <font>
        <color rgb="FF9C5700"/>
      </font>
      <fill>
        <patternFill>
          <bgColor rgb="FFFFEB9C"/>
        </patternFill>
      </fill>
    </dxf>
    <dxf>
      <fill>
        <gradientFill degree="135">
          <stop position="0">
            <color theme="0"/>
          </stop>
          <stop position="1">
            <color rgb="FFFF99FF"/>
          </stop>
        </gradientFill>
      </fill>
    </dxf>
    <dxf>
      <fill>
        <gradientFill degree="135">
          <stop position="0">
            <color theme="0"/>
          </stop>
          <stop position="1">
            <color rgb="FFFF99FF"/>
          </stop>
        </gradient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type="path">
          <stop position="0">
            <color theme="0"/>
          </stop>
          <stop position="1">
            <color rgb="FF663B91"/>
          </stop>
        </gradientFill>
      </fill>
    </dxf>
    <dxf>
      <fill>
        <gradientFill degree="135">
          <stop position="0">
            <color theme="0"/>
          </stop>
          <stop position="1">
            <color rgb="FF7D559B"/>
          </stop>
        </gradientFill>
      </fill>
    </dxf>
    <dxf>
      <fill>
        <gradientFill degree="135">
          <stop position="0">
            <color theme="0"/>
          </stop>
          <stop position="1">
            <color rgb="FFA0CC94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gradientFill degree="135">
          <stop position="0">
            <color theme="0"/>
          </stop>
          <stop position="1">
            <color rgb="FF408442"/>
          </stop>
        </gradientFill>
      </fill>
    </dxf>
    <dxf>
      <fill>
        <gradientFill degree="135">
          <stop position="0">
            <color theme="0"/>
          </stop>
          <stop position="1">
            <color rgb="FF5E69CE"/>
          </stop>
        </gradientFill>
      </fill>
    </dxf>
    <dxf>
      <fill>
        <gradientFill degree="45">
          <stop position="0">
            <color theme="0"/>
          </stop>
          <stop position="1">
            <color rgb="FFFF5D5D"/>
          </stop>
        </gradientFill>
      </fill>
    </dxf>
    <dxf>
      <fill>
        <gradientFill degree="135">
          <stop position="0">
            <color theme="0"/>
          </stop>
          <stop position="1">
            <color theme="9" tint="0.40000610370189521"/>
          </stop>
        </gradientFill>
      </fill>
    </dxf>
    <dxf>
      <font>
        <color rgb="FF9C5700"/>
      </font>
      <fill>
        <patternFill>
          <bgColor rgb="FFFFEB9C"/>
        </patternFill>
      </fill>
    </dxf>
    <dxf>
      <fill>
        <gradientFill degree="135">
          <stop position="0">
            <color theme="0"/>
          </stop>
          <stop position="1">
            <color rgb="FFFF99FF"/>
          </stop>
        </gradientFill>
      </fill>
    </dxf>
    <dxf>
      <fill>
        <gradientFill degree="135">
          <stop position="0">
            <color theme="0"/>
          </stop>
          <stop position="1">
            <color rgb="FFFF99FF"/>
          </stop>
        </gradient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type="path">
          <stop position="0">
            <color theme="0"/>
          </stop>
          <stop position="1">
            <color rgb="FF663B91"/>
          </stop>
        </gradientFill>
      </fill>
    </dxf>
    <dxf>
      <fill>
        <gradientFill degree="135">
          <stop position="0">
            <color theme="0"/>
          </stop>
          <stop position="1">
            <color rgb="FF7D559B"/>
          </stop>
        </gradient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gradientFill degree="180">
          <stop position="0">
            <color theme="0"/>
          </stop>
          <stop position="1">
            <color theme="4" tint="-0.25098422193060094"/>
          </stop>
        </gradientFill>
      </fill>
    </dxf>
    <dxf>
      <fill>
        <gradientFill degree="90">
          <stop position="0">
            <color theme="0"/>
          </stop>
          <stop position="1">
            <color theme="9" tint="0.40000610370189521"/>
          </stop>
        </gradientFill>
      </fill>
    </dxf>
  </dxfs>
  <tableStyles count="1" defaultTableStyle="TableStyleMedium2" defaultPivotStyle="PivotStyleLight16">
    <tableStyle name="Table Style 1" pivot="0" count="2" xr9:uid="{112F8C71-E6A0-4BEE-BF71-25634CBA3D1E}">
      <tableStyleElement type="wholeTable" dxfId="121"/>
      <tableStyleElement type="firstColumnStripe" dxfId="120"/>
    </tableStyle>
  </tableStyles>
  <colors>
    <mruColors>
      <color rgb="FF9656C6"/>
      <color rgb="FF131EF1"/>
      <color rgb="FF4E9852"/>
      <color rgb="FF663B91"/>
      <color rgb="FFE84E4E"/>
      <color rgb="FF5E69CE"/>
      <color rgb="FF26683A"/>
      <color rgb="FF408442"/>
      <color rgb="FFA0CC94"/>
      <color rgb="FFFF5D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 of Color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Black</c:v>
              </c:pt>
              <c:pt idx="1">
                <c:v>Blue</c:v>
              </c:pt>
              <c:pt idx="2">
                <c:v>Red</c:v>
              </c:pt>
              <c:pt idx="3">
                <c:v>White</c:v>
              </c:pt>
            </c:strLit>
          </c:cat>
          <c:val>
            <c:numLit>
              <c:formatCode>General</c:formatCode>
              <c:ptCount val="4"/>
              <c:pt idx="0">
                <c:v>3</c:v>
              </c:pt>
              <c:pt idx="1">
                <c:v>4</c:v>
              </c:pt>
              <c:pt idx="2">
                <c:v>1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8795-4B00-A967-01AC77DACF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302727695"/>
        <c:axId val="302731055"/>
      </c:barChart>
      <c:catAx>
        <c:axId val="30272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731055"/>
        <c:crosses val="autoZero"/>
        <c:auto val="1"/>
        <c:lblAlgn val="ctr"/>
        <c:lblOffset val="100"/>
        <c:noMultiLvlLbl val="0"/>
      </c:catAx>
      <c:valAx>
        <c:axId val="30273105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0272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Sheet1!$V$35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Sheet1!$V$36:$V$45</c:f>
              <c:numCache>
                <c:formatCode>General</c:formatCode>
                <c:ptCount val="10"/>
                <c:pt idx="0">
                  <c:v>45000</c:v>
                </c:pt>
                <c:pt idx="1">
                  <c:v>25000</c:v>
                </c:pt>
                <c:pt idx="2">
                  <c:v>40000</c:v>
                </c:pt>
                <c:pt idx="3">
                  <c:v>18000</c:v>
                </c:pt>
                <c:pt idx="4">
                  <c:v>27000</c:v>
                </c:pt>
                <c:pt idx="5">
                  <c:v>42000</c:v>
                </c:pt>
                <c:pt idx="6">
                  <c:v>19000</c:v>
                </c:pt>
                <c:pt idx="7">
                  <c:v>26000</c:v>
                </c:pt>
                <c:pt idx="8">
                  <c:v>43000</c:v>
                </c:pt>
                <c:pt idx="9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3E-4D95-BC62-DE718A184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43901535"/>
        <c:axId val="243902975"/>
        <c:axId val="0"/>
      </c:bar3DChart>
      <c:catAx>
        <c:axId val="24390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02975"/>
        <c:crosses val="autoZero"/>
        <c:auto val="1"/>
        <c:lblAlgn val="ctr"/>
        <c:lblOffset val="100"/>
        <c:noMultiLvlLbl val="0"/>
      </c:catAx>
      <c:valAx>
        <c:axId val="24390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0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Sheet1!$H$81</c:f>
              <c:strCache>
                <c:ptCount val="1"/>
                <c:pt idx="0">
                  <c:v>Progress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strRef>
              <c:f>Sheet1!$D$82:$D$101</c:f>
              <c:strCache>
                <c:ptCount val="20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Daisy</c:v>
                </c:pt>
                <c:pt idx="4">
                  <c:v>Ethan</c:v>
                </c:pt>
                <c:pt idx="5">
                  <c:v>Fiona</c:v>
                </c:pt>
                <c:pt idx="6">
                  <c:v>Gabriel</c:v>
                </c:pt>
                <c:pt idx="7">
                  <c:v>Hannah</c:v>
                </c:pt>
                <c:pt idx="8">
                  <c:v>Ian</c:v>
                </c:pt>
                <c:pt idx="9">
                  <c:v>Julia</c:v>
                </c:pt>
                <c:pt idx="10">
                  <c:v>Kevin</c:v>
                </c:pt>
                <c:pt idx="11">
                  <c:v>Mark</c:v>
                </c:pt>
                <c:pt idx="12">
                  <c:v>Mark</c:v>
                </c:pt>
                <c:pt idx="13">
                  <c:v>Nathan</c:v>
                </c:pt>
                <c:pt idx="14">
                  <c:v>Olivia</c:v>
                </c:pt>
                <c:pt idx="15">
                  <c:v>Peter</c:v>
                </c:pt>
                <c:pt idx="16">
                  <c:v>Quinn</c:v>
                </c:pt>
                <c:pt idx="17">
                  <c:v>Rachel</c:v>
                </c:pt>
                <c:pt idx="18">
                  <c:v>Sam</c:v>
                </c:pt>
                <c:pt idx="19">
                  <c:v>Tim</c:v>
                </c:pt>
              </c:strCache>
            </c:strRef>
          </c:xVal>
          <c:yVal>
            <c:numRef>
              <c:f>Sheet1!$H$82:$H$101</c:f>
              <c:numCache>
                <c:formatCode>0%</c:formatCode>
                <c:ptCount val="20"/>
                <c:pt idx="0">
                  <c:v>0.78</c:v>
                </c:pt>
                <c:pt idx="1">
                  <c:v>1</c:v>
                </c:pt>
                <c:pt idx="2">
                  <c:v>0.45</c:v>
                </c:pt>
                <c:pt idx="3">
                  <c:v>0</c:v>
                </c:pt>
                <c:pt idx="4">
                  <c:v>1</c:v>
                </c:pt>
                <c:pt idx="5">
                  <c:v>0.78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0.1</c:v>
                </c:pt>
                <c:pt idx="11">
                  <c:v>0.78</c:v>
                </c:pt>
                <c:pt idx="12">
                  <c:v>1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20-44CF-8AF7-9EB938FCF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2272271"/>
        <c:axId val="1232272751"/>
      </c:scatterChart>
      <c:valAx>
        <c:axId val="1232272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272751"/>
        <c:crosses val="autoZero"/>
        <c:crossBetween val="midCat"/>
      </c:valAx>
      <c:valAx>
        <c:axId val="12322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272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Sheet1!$H$81</c:f>
              <c:strCache>
                <c:ptCount val="1"/>
                <c:pt idx="0">
                  <c:v>Progress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7-16DF-4B63-B19A-E9297B3545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8-16DF-4B63-B19A-E9297B3545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9-16DF-4B63-B19A-E9297B3545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A-16DF-4B63-B19A-E9297B3545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B-16DF-4B63-B19A-E9297B3545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C-16DF-4B63-B19A-E9297B3545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D-16DF-4B63-B19A-E9297B3545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E-16DF-4B63-B19A-E9297B3545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F-16DF-4B63-B19A-E9297B3545B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0-16DF-4B63-B19A-E9297B3545B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1-16DF-4B63-B19A-E9297B3545B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2-16DF-4B63-B19A-E9297B3545B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3-16DF-4B63-B19A-E9297B3545B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4-16DF-4B63-B19A-E9297B3545B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5-16DF-4B63-B19A-E9297B3545B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6-16DF-4B63-B19A-E9297B3545B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7-16DF-4B63-B19A-E9297B3545B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8-16DF-4B63-B19A-E9297B3545B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9-16DF-4B63-B19A-E9297B3545B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3A-16DF-4B63-B19A-E9297B3545B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16DF-4B63-B19A-E9297B3545B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8-16DF-4B63-B19A-E9297B3545B7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9-16DF-4B63-B19A-E9297B3545B7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A-16DF-4B63-B19A-E9297B3545B7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B-16DF-4B63-B19A-E9297B3545B7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16DF-4B63-B19A-E9297B3545B7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16DF-4B63-B19A-E9297B3545B7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16DF-4B63-B19A-E9297B3545B7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16DF-4B63-B19A-E9297B3545B7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16DF-4B63-B19A-E9297B3545B7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16DF-4B63-B19A-E9297B3545B7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16DF-4B63-B19A-E9297B3545B7}"/>
                </c:ext>
              </c:extLst>
            </c:dLbl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3-16DF-4B63-B19A-E9297B3545B7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4-16DF-4B63-B19A-E9297B3545B7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5-16DF-4B63-B19A-E9297B3545B7}"/>
                </c:ext>
              </c:extLst>
            </c:dLbl>
            <c:dLbl>
              <c:idx val="1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6-16DF-4B63-B19A-E9297B3545B7}"/>
                </c:ext>
              </c:extLst>
            </c:dLbl>
            <c:dLbl>
              <c:idx val="1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7-16DF-4B63-B19A-E9297B3545B7}"/>
                </c:ext>
              </c:extLst>
            </c:dLbl>
            <c:dLbl>
              <c:idx val="1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8-16DF-4B63-B19A-E9297B3545B7}"/>
                </c:ext>
              </c:extLst>
            </c:dLbl>
            <c:dLbl>
              <c:idx val="1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9-16DF-4B63-B19A-E9297B3545B7}"/>
                </c:ext>
              </c:extLst>
            </c:dLbl>
            <c:dLbl>
              <c:idx val="1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A-16DF-4B63-B19A-E9297B3545B7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Sheet1!$D$82:$D$101</c:f>
              <c:strCache>
                <c:ptCount val="20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Daisy</c:v>
                </c:pt>
                <c:pt idx="4">
                  <c:v>Ethan</c:v>
                </c:pt>
                <c:pt idx="5">
                  <c:v>Fiona</c:v>
                </c:pt>
                <c:pt idx="6">
                  <c:v>Gabriel</c:v>
                </c:pt>
                <c:pt idx="7">
                  <c:v>Hannah</c:v>
                </c:pt>
                <c:pt idx="8">
                  <c:v>Ian</c:v>
                </c:pt>
                <c:pt idx="9">
                  <c:v>Julia</c:v>
                </c:pt>
                <c:pt idx="10">
                  <c:v>Kevin</c:v>
                </c:pt>
                <c:pt idx="11">
                  <c:v>Mark</c:v>
                </c:pt>
                <c:pt idx="12">
                  <c:v>Mark</c:v>
                </c:pt>
                <c:pt idx="13">
                  <c:v>Nathan</c:v>
                </c:pt>
                <c:pt idx="14">
                  <c:v>Olivia</c:v>
                </c:pt>
                <c:pt idx="15">
                  <c:v>Peter</c:v>
                </c:pt>
                <c:pt idx="16">
                  <c:v>Quinn</c:v>
                </c:pt>
                <c:pt idx="17">
                  <c:v>Rachel</c:v>
                </c:pt>
                <c:pt idx="18">
                  <c:v>Sam</c:v>
                </c:pt>
                <c:pt idx="19">
                  <c:v>Tim</c:v>
                </c:pt>
              </c:strCache>
            </c:strRef>
          </c:cat>
          <c:val>
            <c:numRef>
              <c:f>Sheet1!$H$82:$H$101</c:f>
              <c:numCache>
                <c:formatCode>0%</c:formatCode>
                <c:ptCount val="20"/>
                <c:pt idx="0">
                  <c:v>0.78</c:v>
                </c:pt>
                <c:pt idx="1">
                  <c:v>1</c:v>
                </c:pt>
                <c:pt idx="2">
                  <c:v>0.45</c:v>
                </c:pt>
                <c:pt idx="3">
                  <c:v>0</c:v>
                </c:pt>
                <c:pt idx="4">
                  <c:v>1</c:v>
                </c:pt>
                <c:pt idx="5">
                  <c:v>0.78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0.1</c:v>
                </c:pt>
                <c:pt idx="11">
                  <c:v>0.78</c:v>
                </c:pt>
                <c:pt idx="12">
                  <c:v>1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DF-4B63-B19A-E9297B3545B7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effectLst>
                <a:reflection stA="0" endPos="65000" dist="50800" dir="5400000" sy="-100000" algn="bl" rotWithShape="0"/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Sheet1!$F$81</c:f>
              <c:strCache>
                <c:ptCount val="1"/>
                <c:pt idx="0">
                  <c:v>Days Required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reflection stA="0" endPos="6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Sheet1!$C$82:$C$101</c:f>
              <c:strCache>
                <c:ptCount val="20"/>
                <c:pt idx="0">
                  <c:v>Market Research</c:v>
                </c:pt>
                <c:pt idx="1">
                  <c:v>Content Creation</c:v>
                </c:pt>
                <c:pt idx="2">
                  <c:v>Social Media Planning</c:v>
                </c:pt>
                <c:pt idx="3">
                  <c:v>Campaign Analysis</c:v>
                </c:pt>
                <c:pt idx="4">
                  <c:v>Prototype Development</c:v>
                </c:pt>
                <c:pt idx="5">
                  <c:v>Quality Assurance</c:v>
                </c:pt>
                <c:pt idx="6">
                  <c:v>User Interface Design</c:v>
                </c:pt>
                <c:pt idx="7">
                  <c:v>Service Improvement</c:v>
                </c:pt>
                <c:pt idx="8">
                  <c:v>Ticket Resolution</c:v>
                </c:pt>
                <c:pt idx="9">
                  <c:v>Customer Feedback</c:v>
                </c:pt>
                <c:pt idx="10">
                  <c:v>Budget Analysis</c:v>
                </c:pt>
                <c:pt idx="11">
                  <c:v>Financial Reporting</c:v>
                </c:pt>
                <c:pt idx="12">
                  <c:v>Investment Planning</c:v>
                </c:pt>
                <c:pt idx="13">
                  <c:v>Market Trends Analysis</c:v>
                </c:pt>
                <c:pt idx="14">
                  <c:v>Data Collection</c:v>
                </c:pt>
                <c:pt idx="15">
                  <c:v>Research Paper Writing</c:v>
                </c:pt>
                <c:pt idx="16">
                  <c:v>Software Development</c:v>
                </c:pt>
                <c:pt idx="17">
                  <c:v>Feature Enhancement</c:v>
                </c:pt>
                <c:pt idx="18">
                  <c:v>Code Review</c:v>
                </c:pt>
                <c:pt idx="19">
                  <c:v>Manufacturing</c:v>
                </c:pt>
              </c:strCache>
            </c:strRef>
          </c:cat>
          <c:val>
            <c:numRef>
              <c:f>Sheet1!$F$82:$F$101</c:f>
              <c:numCache>
                <c:formatCode>General</c:formatCode>
                <c:ptCount val="20"/>
                <c:pt idx="0">
                  <c:v>13</c:v>
                </c:pt>
                <c:pt idx="1">
                  <c:v>14</c:v>
                </c:pt>
                <c:pt idx="2">
                  <c:v>22</c:v>
                </c:pt>
                <c:pt idx="3">
                  <c:v>25</c:v>
                </c:pt>
                <c:pt idx="4">
                  <c:v>18</c:v>
                </c:pt>
                <c:pt idx="5">
                  <c:v>10</c:v>
                </c:pt>
                <c:pt idx="6">
                  <c:v>25</c:v>
                </c:pt>
                <c:pt idx="7">
                  <c:v>22</c:v>
                </c:pt>
                <c:pt idx="8">
                  <c:v>25</c:v>
                </c:pt>
                <c:pt idx="9">
                  <c:v>30</c:v>
                </c:pt>
                <c:pt idx="10">
                  <c:v>22</c:v>
                </c:pt>
                <c:pt idx="11">
                  <c:v>21</c:v>
                </c:pt>
                <c:pt idx="12">
                  <c:v>25</c:v>
                </c:pt>
                <c:pt idx="13">
                  <c:v>23</c:v>
                </c:pt>
                <c:pt idx="14">
                  <c:v>32</c:v>
                </c:pt>
                <c:pt idx="15">
                  <c:v>27</c:v>
                </c:pt>
                <c:pt idx="16">
                  <c:v>36</c:v>
                </c:pt>
                <c:pt idx="17">
                  <c:v>34</c:v>
                </c:pt>
                <c:pt idx="18">
                  <c:v>30</c:v>
                </c:pt>
                <c:pt idx="19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C-4387-B48C-4598FC5CB8A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141999"/>
        <c:axId val="1506142479"/>
      </c:barChart>
      <c:valAx>
        <c:axId val="150614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reflection stA="0" endPos="65000" dist="50800" dir="5400000" sy="-100000" algn="bl" rotWithShape="0"/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141999"/>
        <c:crosses val="autoZero"/>
        <c:crossBetween val="between"/>
      </c:valAx>
      <c:catAx>
        <c:axId val="150614199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reflection stA="0" endPos="65000" dist="50800" dir="5400000" sy="-100000" algn="bl" rotWithShape="0"/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142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effectLst>
                <a:reflection stA="0" endPos="65000" dist="50800" dir="5400000" sy="-100000" algn="bl" rotWithShape="0"/>
              </a:effectLst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effectLst>
            <a:reflection stA="0" endPos="65000" dist="50800" dir="5400000" sy="-100000" algn="bl" rotWithShape="0"/>
          </a:effectLst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 of Color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Black</c:v>
              </c:pt>
              <c:pt idx="1">
                <c:v>Blue</c:v>
              </c:pt>
              <c:pt idx="2">
                <c:v>Red</c:v>
              </c:pt>
              <c:pt idx="3">
                <c:v>White</c:v>
              </c:pt>
            </c:strLit>
          </c:cat>
          <c:val>
            <c:numLit>
              <c:formatCode>General</c:formatCode>
              <c:ptCount val="4"/>
              <c:pt idx="0">
                <c:v>3</c:v>
              </c:pt>
              <c:pt idx="1">
                <c:v>4</c:v>
              </c:pt>
              <c:pt idx="2">
                <c:v>1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6875-4031-B1AE-557BD7080E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302727695"/>
        <c:axId val="302731055"/>
      </c:barChart>
      <c:catAx>
        <c:axId val="30272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731055"/>
        <c:crosses val="autoZero"/>
        <c:auto val="1"/>
        <c:lblAlgn val="ctr"/>
        <c:lblOffset val="100"/>
        <c:noMultiLvlLbl val="0"/>
      </c:catAx>
      <c:valAx>
        <c:axId val="30273105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0272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Sheet1!$H$81</c:f>
              <c:strCache>
                <c:ptCount val="1"/>
                <c:pt idx="0">
                  <c:v>Progress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strRef>
              <c:f>Sheet1!$D$82:$D$101</c:f>
              <c:strCache>
                <c:ptCount val="20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Daisy</c:v>
                </c:pt>
                <c:pt idx="4">
                  <c:v>Ethan</c:v>
                </c:pt>
                <c:pt idx="5">
                  <c:v>Fiona</c:v>
                </c:pt>
                <c:pt idx="6">
                  <c:v>Gabriel</c:v>
                </c:pt>
                <c:pt idx="7">
                  <c:v>Hannah</c:v>
                </c:pt>
                <c:pt idx="8">
                  <c:v>Ian</c:v>
                </c:pt>
                <c:pt idx="9">
                  <c:v>Julia</c:v>
                </c:pt>
                <c:pt idx="10">
                  <c:v>Kevin</c:v>
                </c:pt>
                <c:pt idx="11">
                  <c:v>Mark</c:v>
                </c:pt>
                <c:pt idx="12">
                  <c:v>Mark</c:v>
                </c:pt>
                <c:pt idx="13">
                  <c:v>Nathan</c:v>
                </c:pt>
                <c:pt idx="14">
                  <c:v>Olivia</c:v>
                </c:pt>
                <c:pt idx="15">
                  <c:v>Peter</c:v>
                </c:pt>
                <c:pt idx="16">
                  <c:v>Quinn</c:v>
                </c:pt>
                <c:pt idx="17">
                  <c:v>Rachel</c:v>
                </c:pt>
                <c:pt idx="18">
                  <c:v>Sam</c:v>
                </c:pt>
                <c:pt idx="19">
                  <c:v>Tim</c:v>
                </c:pt>
              </c:strCache>
            </c:strRef>
          </c:xVal>
          <c:yVal>
            <c:numRef>
              <c:f>Sheet1!$H$82:$H$101</c:f>
              <c:numCache>
                <c:formatCode>0%</c:formatCode>
                <c:ptCount val="20"/>
                <c:pt idx="0">
                  <c:v>0.78</c:v>
                </c:pt>
                <c:pt idx="1">
                  <c:v>1</c:v>
                </c:pt>
                <c:pt idx="2">
                  <c:v>0.45</c:v>
                </c:pt>
                <c:pt idx="3">
                  <c:v>0</c:v>
                </c:pt>
                <c:pt idx="4">
                  <c:v>1</c:v>
                </c:pt>
                <c:pt idx="5">
                  <c:v>0.78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0.1</c:v>
                </c:pt>
                <c:pt idx="11">
                  <c:v>0.78</c:v>
                </c:pt>
                <c:pt idx="12">
                  <c:v>1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67-408D-BB92-B66D0ECA4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2272271"/>
        <c:axId val="1232272751"/>
      </c:scatterChart>
      <c:valAx>
        <c:axId val="1232272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272751"/>
        <c:crosses val="autoZero"/>
        <c:crossBetween val="midCat"/>
      </c:valAx>
      <c:valAx>
        <c:axId val="12322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272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Sheet1!$H$81</c:f>
              <c:strCache>
                <c:ptCount val="1"/>
                <c:pt idx="0">
                  <c:v>Progress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E8B7-445E-8AC5-6A451D4064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E8B7-445E-8AC5-6A451D4064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E8B7-445E-8AC5-6A451D4064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E8B7-445E-8AC5-6A451D4064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E8B7-445E-8AC5-6A451D4064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B-E8B7-445E-8AC5-6A451D4064F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D-E8B7-445E-8AC5-6A451D4064F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F-E8B7-445E-8AC5-6A451D4064F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1-E8B7-445E-8AC5-6A451D4064F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3-E8B7-445E-8AC5-6A451D4064F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5-E8B7-445E-8AC5-6A451D4064F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7-E8B7-445E-8AC5-6A451D4064F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9-E8B7-445E-8AC5-6A451D4064F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B-E8B7-445E-8AC5-6A451D4064F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D-E8B7-445E-8AC5-6A451D4064F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1F-E8B7-445E-8AC5-6A451D4064F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1-E8B7-445E-8AC5-6A451D4064F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3-E8B7-445E-8AC5-6A451D4064F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5-E8B7-445E-8AC5-6A451D4064F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27-E8B7-445E-8AC5-6A451D4064F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8B7-445E-8AC5-6A451D4064F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8B7-445E-8AC5-6A451D4064F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8B7-445E-8AC5-6A451D4064F5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8B7-445E-8AC5-6A451D4064F5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E8B7-445E-8AC5-6A451D4064F5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E8B7-445E-8AC5-6A451D4064F5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E8B7-445E-8AC5-6A451D4064F5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E8B7-445E-8AC5-6A451D4064F5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E8B7-445E-8AC5-6A451D4064F5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E8B7-445E-8AC5-6A451D4064F5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5-E8B7-445E-8AC5-6A451D4064F5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7-E8B7-445E-8AC5-6A451D4064F5}"/>
                </c:ext>
              </c:extLst>
            </c:dLbl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9-E8B7-445E-8AC5-6A451D4064F5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B-E8B7-445E-8AC5-6A451D4064F5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D-E8B7-445E-8AC5-6A451D4064F5}"/>
                </c:ext>
              </c:extLst>
            </c:dLbl>
            <c:dLbl>
              <c:idx val="1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F-E8B7-445E-8AC5-6A451D4064F5}"/>
                </c:ext>
              </c:extLst>
            </c:dLbl>
            <c:dLbl>
              <c:idx val="1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1-E8B7-445E-8AC5-6A451D4064F5}"/>
                </c:ext>
              </c:extLst>
            </c:dLbl>
            <c:dLbl>
              <c:idx val="1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3-E8B7-445E-8AC5-6A451D4064F5}"/>
                </c:ext>
              </c:extLst>
            </c:dLbl>
            <c:dLbl>
              <c:idx val="1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5-E8B7-445E-8AC5-6A451D4064F5}"/>
                </c:ext>
              </c:extLst>
            </c:dLbl>
            <c:dLbl>
              <c:idx val="1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E8B7-445E-8AC5-6A451D4064F5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Sheet1!$D$82:$D$101</c:f>
              <c:strCache>
                <c:ptCount val="20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Daisy</c:v>
                </c:pt>
                <c:pt idx="4">
                  <c:v>Ethan</c:v>
                </c:pt>
                <c:pt idx="5">
                  <c:v>Fiona</c:v>
                </c:pt>
                <c:pt idx="6">
                  <c:v>Gabriel</c:v>
                </c:pt>
                <c:pt idx="7">
                  <c:v>Hannah</c:v>
                </c:pt>
                <c:pt idx="8">
                  <c:v>Ian</c:v>
                </c:pt>
                <c:pt idx="9">
                  <c:v>Julia</c:v>
                </c:pt>
                <c:pt idx="10">
                  <c:v>Kevin</c:v>
                </c:pt>
                <c:pt idx="11">
                  <c:v>Mark</c:v>
                </c:pt>
                <c:pt idx="12">
                  <c:v>Mark</c:v>
                </c:pt>
                <c:pt idx="13">
                  <c:v>Nathan</c:v>
                </c:pt>
                <c:pt idx="14">
                  <c:v>Olivia</c:v>
                </c:pt>
                <c:pt idx="15">
                  <c:v>Peter</c:v>
                </c:pt>
                <c:pt idx="16">
                  <c:v>Quinn</c:v>
                </c:pt>
                <c:pt idx="17">
                  <c:v>Rachel</c:v>
                </c:pt>
                <c:pt idx="18">
                  <c:v>Sam</c:v>
                </c:pt>
                <c:pt idx="19">
                  <c:v>Tim</c:v>
                </c:pt>
              </c:strCache>
            </c:strRef>
          </c:cat>
          <c:val>
            <c:numRef>
              <c:f>Sheet1!$H$82:$H$101</c:f>
              <c:numCache>
                <c:formatCode>0%</c:formatCode>
                <c:ptCount val="20"/>
                <c:pt idx="0">
                  <c:v>0.78</c:v>
                </c:pt>
                <c:pt idx="1">
                  <c:v>1</c:v>
                </c:pt>
                <c:pt idx="2">
                  <c:v>0.45</c:v>
                </c:pt>
                <c:pt idx="3">
                  <c:v>0</c:v>
                </c:pt>
                <c:pt idx="4">
                  <c:v>1</c:v>
                </c:pt>
                <c:pt idx="5">
                  <c:v>0.78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0.1</c:v>
                </c:pt>
                <c:pt idx="11">
                  <c:v>0.78</c:v>
                </c:pt>
                <c:pt idx="12">
                  <c:v>1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E8B7-445E-8AC5-6A451D4064F5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effectLst>
                <a:reflection stA="0" endPos="65000" dist="50800" dir="5400000" sy="-100000" algn="bl" rotWithShape="0"/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Sheet1!$F$81</c:f>
              <c:strCache>
                <c:ptCount val="1"/>
                <c:pt idx="0">
                  <c:v>Days Required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reflection stA="0" endPos="6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Sheet1!$C$82:$C$101</c:f>
              <c:strCache>
                <c:ptCount val="20"/>
                <c:pt idx="0">
                  <c:v>Market Research</c:v>
                </c:pt>
                <c:pt idx="1">
                  <c:v>Content Creation</c:v>
                </c:pt>
                <c:pt idx="2">
                  <c:v>Social Media Planning</c:v>
                </c:pt>
                <c:pt idx="3">
                  <c:v>Campaign Analysis</c:v>
                </c:pt>
                <c:pt idx="4">
                  <c:v>Prototype Development</c:v>
                </c:pt>
                <c:pt idx="5">
                  <c:v>Quality Assurance</c:v>
                </c:pt>
                <c:pt idx="6">
                  <c:v>User Interface Design</c:v>
                </c:pt>
                <c:pt idx="7">
                  <c:v>Service Improvement</c:v>
                </c:pt>
                <c:pt idx="8">
                  <c:v>Ticket Resolution</c:v>
                </c:pt>
                <c:pt idx="9">
                  <c:v>Customer Feedback</c:v>
                </c:pt>
                <c:pt idx="10">
                  <c:v>Budget Analysis</c:v>
                </c:pt>
                <c:pt idx="11">
                  <c:v>Financial Reporting</c:v>
                </c:pt>
                <c:pt idx="12">
                  <c:v>Investment Planning</c:v>
                </c:pt>
                <c:pt idx="13">
                  <c:v>Market Trends Analysis</c:v>
                </c:pt>
                <c:pt idx="14">
                  <c:v>Data Collection</c:v>
                </c:pt>
                <c:pt idx="15">
                  <c:v>Research Paper Writing</c:v>
                </c:pt>
                <c:pt idx="16">
                  <c:v>Software Development</c:v>
                </c:pt>
                <c:pt idx="17">
                  <c:v>Feature Enhancement</c:v>
                </c:pt>
                <c:pt idx="18">
                  <c:v>Code Review</c:v>
                </c:pt>
                <c:pt idx="19">
                  <c:v>Manufacturing</c:v>
                </c:pt>
              </c:strCache>
            </c:strRef>
          </c:cat>
          <c:val>
            <c:numRef>
              <c:f>Sheet1!$F$82:$F$101</c:f>
              <c:numCache>
                <c:formatCode>General</c:formatCode>
                <c:ptCount val="20"/>
                <c:pt idx="0">
                  <c:v>13</c:v>
                </c:pt>
                <c:pt idx="1">
                  <c:v>14</c:v>
                </c:pt>
                <c:pt idx="2">
                  <c:v>22</c:v>
                </c:pt>
                <c:pt idx="3">
                  <c:v>25</c:v>
                </c:pt>
                <c:pt idx="4">
                  <c:v>18</c:v>
                </c:pt>
                <c:pt idx="5">
                  <c:v>10</c:v>
                </c:pt>
                <c:pt idx="6">
                  <c:v>25</c:v>
                </c:pt>
                <c:pt idx="7">
                  <c:v>22</c:v>
                </c:pt>
                <c:pt idx="8">
                  <c:v>25</c:v>
                </c:pt>
                <c:pt idx="9">
                  <c:v>30</c:v>
                </c:pt>
                <c:pt idx="10">
                  <c:v>22</c:v>
                </c:pt>
                <c:pt idx="11">
                  <c:v>21</c:v>
                </c:pt>
                <c:pt idx="12">
                  <c:v>25</c:v>
                </c:pt>
                <c:pt idx="13">
                  <c:v>23</c:v>
                </c:pt>
                <c:pt idx="14">
                  <c:v>32</c:v>
                </c:pt>
                <c:pt idx="15">
                  <c:v>27</c:v>
                </c:pt>
                <c:pt idx="16">
                  <c:v>36</c:v>
                </c:pt>
                <c:pt idx="17">
                  <c:v>34</c:v>
                </c:pt>
                <c:pt idx="18">
                  <c:v>30</c:v>
                </c:pt>
                <c:pt idx="19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9-4940-AF3D-DF73197CC3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141999"/>
        <c:axId val="1506142479"/>
      </c:barChart>
      <c:valAx>
        <c:axId val="150614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reflection stA="0" endPos="65000" dist="50800" dir="5400000" sy="-100000" algn="bl" rotWithShape="0"/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141999"/>
        <c:crosses val="autoZero"/>
        <c:crossBetween val="between"/>
      </c:valAx>
      <c:catAx>
        <c:axId val="150614199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>
                  <a:reflection stA="0" endPos="65000" dist="50800" dir="5400000" sy="-100000" algn="bl" rotWithShape="0"/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142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effectLst>
                <a:reflection stA="0" endPos="65000" dist="50800" dir="5400000" sy="-100000" algn="bl" rotWithShape="0"/>
              </a:effectLst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effectLst>
            <a:reflection stA="0" endPos="65000" dist="50800" dir="5400000" sy="-100000" algn="bl" rotWithShape="0"/>
          </a:effectLst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7ED7D975-9502-4FC1-80DA-B60DE60B54F1}">
          <cx:tx>
            <cx:txData>
              <cx:f>_xlchart.v1.1</cx:f>
              <cx:v>Budget (₹)</cx:v>
            </cx:txData>
          </cx:tx>
          <cx:dataId val="0"/>
          <cx:layoutPr>
            <cx:aggregation/>
          </cx:layoutPr>
          <cx:axisId val="1"/>
        </cx:series>
        <cx:series layoutId="paretoLine" ownerIdx="0" uniqueId="{A2FC5BE8-9772-499F-B6B4-AEB776E003E2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7ED7D975-9502-4FC1-80DA-B60DE60B54F1}">
          <cx:tx>
            <cx:txData>
              <cx:f>_xlchart.v1.4</cx:f>
              <cx:v>Budget (₹)</cx:v>
            </cx:txData>
          </cx:tx>
          <cx:dataId val="0"/>
          <cx:layoutPr>
            <cx:aggregation/>
          </cx:layoutPr>
          <cx:axisId val="1"/>
        </cx:series>
        <cx:series layoutId="paretoLine" ownerIdx="0" uniqueId="{A2FC5BE8-9772-499F-B6B4-AEB776E003E2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1.png"/><Relationship Id="rId7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5" Type="http://schemas.openxmlformats.org/officeDocument/2006/relationships/image" Target="../media/image3.jpeg"/><Relationship Id="rId10" Type="http://schemas.openxmlformats.org/officeDocument/2006/relationships/chart" Target="../charts/chart5.xml"/><Relationship Id="rId4" Type="http://schemas.openxmlformats.org/officeDocument/2006/relationships/image" Target="../media/image2.png"/><Relationship Id="rId9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image" Target="../media/image2.png"/><Relationship Id="rId7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microsoft.com/office/2014/relationships/chartEx" Target="../charts/chartEx2.xml"/><Relationship Id="rId5" Type="http://schemas.openxmlformats.org/officeDocument/2006/relationships/image" Target="../media/image4.png"/><Relationship Id="rId4" Type="http://schemas.openxmlformats.org/officeDocument/2006/relationships/image" Target="../media/image3.jpeg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552450</xdr:colOff>
      <xdr:row>17</xdr:row>
      <xdr:rowOff>171450</xdr:rowOff>
    </xdr:from>
    <xdr:to>
      <xdr:col>29</xdr:col>
      <xdr:colOff>323850</xdr:colOff>
      <xdr:row>32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93DA41-802F-45A3-B493-708F5EB2F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190500</xdr:colOff>
      <xdr:row>34</xdr:row>
      <xdr:rowOff>114299</xdr:rowOff>
    </xdr:from>
    <xdr:to>
      <xdr:col>32</xdr:col>
      <xdr:colOff>38100</xdr:colOff>
      <xdr:row>45</xdr:row>
      <xdr:rowOff>52386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D213E3A-C563-D9B1-DE46-20F5B06051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161925</xdr:colOff>
      <xdr:row>71</xdr:row>
      <xdr:rowOff>104775</xdr:rowOff>
    </xdr:from>
    <xdr:to>
      <xdr:col>4</xdr:col>
      <xdr:colOff>1419225</xdr:colOff>
      <xdr:row>71</xdr:row>
      <xdr:rowOff>571501</xdr:rowOff>
    </xdr:to>
    <xdr:pic>
      <xdr:nvPicPr>
        <xdr:cNvPr id="3" name="Picture 2" descr="Google thwarts the greatest widespread DDoS attempt to have hit the ...">
          <a:extLst>
            <a:ext uri="{FF2B5EF4-FFF2-40B4-BE49-F238E27FC236}">
              <a16:creationId xmlns:a16="http://schemas.microsoft.com/office/drawing/2014/main" id="{B6EBA983-ACC3-232D-F133-BA5ED5E15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76700" y="14735175"/>
          <a:ext cx="1257300" cy="466726"/>
        </a:xfrm>
        <a:prstGeom prst="rect">
          <a:avLst/>
        </a:prstGeom>
        <a:noFill/>
        <a:effectLst>
          <a:glow rad="63500">
            <a:schemeClr val="accent5">
              <a:lumMod val="60000"/>
              <a:lumOff val="40000"/>
              <a:alpha val="40000"/>
            </a:schemeClr>
          </a:glow>
          <a:outerShdw blurRad="50800" dist="38100" dir="13500000" algn="br" rotWithShape="0">
            <a:prstClr val="black">
              <a:alpha val="76000"/>
            </a:prstClr>
          </a:outerShdw>
        </a:effectLst>
        <a:scene3d>
          <a:camera prst="orthographicFront">
            <a:rot lat="0" lon="20699940" rev="300000"/>
          </a:camera>
          <a:lightRig rig="threePt" dir="t"/>
        </a:scene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73</xdr:row>
      <xdr:rowOff>0</xdr:rowOff>
    </xdr:from>
    <xdr:to>
      <xdr:col>4</xdr:col>
      <xdr:colOff>304800</xdr:colOff>
      <xdr:row>73</xdr:row>
      <xdr:rowOff>304800</xdr:rowOff>
    </xdr:to>
    <xdr:sp macro="" textlink="">
      <xdr:nvSpPr>
        <xdr:cNvPr id="1028" name="AutoShape 4" descr="Netflix Logo, symbol, meaning, history, PNG, brand">
          <a:extLst>
            <a:ext uri="{FF2B5EF4-FFF2-40B4-BE49-F238E27FC236}">
              <a16:creationId xmlns:a16="http://schemas.microsoft.com/office/drawing/2014/main" id="{52455365-58AF-3474-022C-6FD836BED74A}"/>
            </a:ext>
          </a:extLst>
        </xdr:cNvPr>
        <xdr:cNvSpPr>
          <a:spLocks noChangeAspect="1" noChangeArrowheads="1"/>
        </xdr:cNvSpPr>
      </xdr:nvSpPr>
      <xdr:spPr bwMode="auto">
        <a:xfrm>
          <a:off x="11649075" y="1825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226009</xdr:colOff>
      <xdr:row>73</xdr:row>
      <xdr:rowOff>104775</xdr:rowOff>
    </xdr:from>
    <xdr:to>
      <xdr:col>4</xdr:col>
      <xdr:colOff>1457324</xdr:colOff>
      <xdr:row>73</xdr:row>
      <xdr:rowOff>552450</xdr:rowOff>
    </xdr:to>
    <xdr:pic>
      <xdr:nvPicPr>
        <xdr:cNvPr id="5" name="Picture 4" descr="Exploring the evolution of the Netflix logo over time - abella diseño ...">
          <a:extLst>
            <a:ext uri="{FF2B5EF4-FFF2-40B4-BE49-F238E27FC236}">
              <a16:creationId xmlns:a16="http://schemas.microsoft.com/office/drawing/2014/main" id="{DF80427B-A9D0-CFE8-E23E-6DA60E25B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0784" y="16230600"/>
          <a:ext cx="1231315" cy="447675"/>
        </a:xfrm>
        <a:prstGeom prst="rect">
          <a:avLst/>
        </a:prstGeom>
        <a:noFill/>
        <a:effectLst>
          <a:outerShdw blurRad="50800" dist="38100" algn="l" rotWithShape="0">
            <a:prstClr val="black">
              <a:alpha val="40000"/>
            </a:prstClr>
          </a:outerShdw>
          <a:reflection blurRad="6350" stA="50000" endA="300" endPos="55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295275</xdr:colOff>
      <xdr:row>74</xdr:row>
      <xdr:rowOff>104258</xdr:rowOff>
    </xdr:from>
    <xdr:to>
      <xdr:col>4</xdr:col>
      <xdr:colOff>1352550</xdr:colOff>
      <xdr:row>74</xdr:row>
      <xdr:rowOff>609600</xdr:rowOff>
    </xdr:to>
    <xdr:pic>
      <xdr:nvPicPr>
        <xdr:cNvPr id="6" name="Picture 5" descr="Nike Logo SVG File | Etsy">
          <a:extLst>
            <a:ext uri="{FF2B5EF4-FFF2-40B4-BE49-F238E27FC236}">
              <a16:creationId xmlns:a16="http://schemas.microsoft.com/office/drawing/2014/main" id="{B3A9D347-B980-1B3B-9E95-F5263E699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10050" y="17039708"/>
          <a:ext cx="1057275" cy="505342"/>
        </a:xfrm>
        <a:prstGeom prst="rect">
          <a:avLst/>
        </a:prstGeom>
        <a:noFill/>
        <a:effectLst>
          <a:outerShdw blurRad="63500" sx="102000" sy="102000" algn="ctr" rotWithShape="0">
            <a:prstClr val="black">
              <a:alpha val="82000"/>
            </a:prstClr>
          </a:outerShdw>
        </a:effectLst>
        <a:scene3d>
          <a:camera prst="orthographicFront"/>
          <a:lightRig rig="threePt" dir="t"/>
        </a:scene3d>
        <a:sp3d prstMaterial="matte"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247651</xdr:colOff>
      <xdr:row>72</xdr:row>
      <xdr:rowOff>108073</xdr:rowOff>
    </xdr:from>
    <xdr:to>
      <xdr:col>4</xdr:col>
      <xdr:colOff>1428750</xdr:colOff>
      <xdr:row>72</xdr:row>
      <xdr:rowOff>737357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F2A7DCD-D255-FAA9-5DD1-5BF4C37A4A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62426" y="15443323"/>
          <a:ext cx="1181099" cy="629284"/>
        </a:xfrm>
        <a:prstGeom prst="rect">
          <a:avLst/>
        </a:prstGeom>
        <a:effectLst>
          <a:outerShdw blurRad="50800" dist="38100" dir="13500000" algn="br" rotWithShape="0">
            <a:schemeClr val="tx1">
              <a:alpha val="67000"/>
            </a:schemeClr>
          </a:outerShdw>
        </a:effectLst>
      </xdr:spPr>
    </xdr:pic>
    <xdr:clientData/>
  </xdr:twoCellAnchor>
  <xdr:twoCellAnchor>
    <xdr:from>
      <xdr:col>4</xdr:col>
      <xdr:colOff>733425</xdr:colOff>
      <xdr:row>102</xdr:row>
      <xdr:rowOff>71437</xdr:rowOff>
    </xdr:from>
    <xdr:to>
      <xdr:col>8</xdr:col>
      <xdr:colOff>581025</xdr:colOff>
      <xdr:row>116</xdr:row>
      <xdr:rowOff>147637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9" name="Chart 18">
              <a:extLst>
                <a:ext uri="{FF2B5EF4-FFF2-40B4-BE49-F238E27FC236}">
                  <a16:creationId xmlns:a16="http://schemas.microsoft.com/office/drawing/2014/main" id="{81403DF5-A960-216E-D9CC-6C11701CD7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48325" y="23836312"/>
              <a:ext cx="4572000" cy="2771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847725</xdr:colOff>
      <xdr:row>102</xdr:row>
      <xdr:rowOff>61912</xdr:rowOff>
    </xdr:from>
    <xdr:to>
      <xdr:col>13</xdr:col>
      <xdr:colOff>209550</xdr:colOff>
      <xdr:row>116</xdr:row>
      <xdr:rowOff>138112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E603F20-ACFF-AC17-576B-680A26D74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209549</xdr:colOff>
      <xdr:row>92</xdr:row>
      <xdr:rowOff>95250</xdr:rowOff>
    </xdr:from>
    <xdr:to>
      <xdr:col>15</xdr:col>
      <xdr:colOff>76199</xdr:colOff>
      <xdr:row>101</xdr:row>
      <xdr:rowOff>90487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632BE7D-0874-E0D2-7CB4-7E8A96848B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257175</xdr:colOff>
      <xdr:row>102</xdr:row>
      <xdr:rowOff>71437</xdr:rowOff>
    </xdr:from>
    <xdr:to>
      <xdr:col>4</xdr:col>
      <xdr:colOff>504825</xdr:colOff>
      <xdr:row>116</xdr:row>
      <xdr:rowOff>147637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76016CD-2CBC-64D0-B798-0FC2F2794F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552450</xdr:colOff>
      <xdr:row>17</xdr:row>
      <xdr:rowOff>171450</xdr:rowOff>
    </xdr:from>
    <xdr:to>
      <xdr:col>29</xdr:col>
      <xdr:colOff>323850</xdr:colOff>
      <xdr:row>32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16F41A-D4B7-4577-A94C-359A231A8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161925</xdr:colOff>
      <xdr:row>71</xdr:row>
      <xdr:rowOff>104775</xdr:rowOff>
    </xdr:from>
    <xdr:to>
      <xdr:col>4</xdr:col>
      <xdr:colOff>1419225</xdr:colOff>
      <xdr:row>71</xdr:row>
      <xdr:rowOff>571501</xdr:rowOff>
    </xdr:to>
    <xdr:pic>
      <xdr:nvPicPr>
        <xdr:cNvPr id="3" name="Picture 2" descr="Google thwarts the greatest widespread DDoS attempt to have hit the ...">
          <a:extLst>
            <a:ext uri="{FF2B5EF4-FFF2-40B4-BE49-F238E27FC236}">
              <a16:creationId xmlns:a16="http://schemas.microsoft.com/office/drawing/2014/main" id="{D7BA6808-06D5-4C53-8E75-6F09F28B3C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4735175"/>
          <a:ext cx="1257300" cy="466726"/>
        </a:xfrm>
        <a:prstGeom prst="rect">
          <a:avLst/>
        </a:prstGeom>
        <a:noFill/>
        <a:effectLst>
          <a:glow rad="63500">
            <a:schemeClr val="accent5">
              <a:lumMod val="60000"/>
              <a:lumOff val="40000"/>
              <a:alpha val="40000"/>
            </a:schemeClr>
          </a:glow>
          <a:outerShdw blurRad="50800" dist="38100" dir="13500000" algn="br" rotWithShape="0">
            <a:prstClr val="black">
              <a:alpha val="76000"/>
            </a:prstClr>
          </a:outerShdw>
        </a:effectLst>
        <a:scene3d>
          <a:camera prst="orthographicFront">
            <a:rot lat="0" lon="20699940" rev="300000"/>
          </a:camera>
          <a:lightRig rig="threePt" dir="t"/>
        </a:scene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73</xdr:row>
      <xdr:rowOff>0</xdr:rowOff>
    </xdr:from>
    <xdr:to>
      <xdr:col>4</xdr:col>
      <xdr:colOff>304800</xdr:colOff>
      <xdr:row>73</xdr:row>
      <xdr:rowOff>381000</xdr:rowOff>
    </xdr:to>
    <xdr:sp macro="" textlink="">
      <xdr:nvSpPr>
        <xdr:cNvPr id="4" name="AutoShape 4" descr="Netflix Logo, symbol, meaning, history, PNG, brand">
          <a:extLst>
            <a:ext uri="{FF2B5EF4-FFF2-40B4-BE49-F238E27FC236}">
              <a16:creationId xmlns:a16="http://schemas.microsoft.com/office/drawing/2014/main" id="{3BDBC349-C414-48CC-B017-DEED7362850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1612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226009</xdr:colOff>
      <xdr:row>73</xdr:row>
      <xdr:rowOff>104775</xdr:rowOff>
    </xdr:from>
    <xdr:to>
      <xdr:col>4</xdr:col>
      <xdr:colOff>1457324</xdr:colOff>
      <xdr:row>73</xdr:row>
      <xdr:rowOff>552450</xdr:rowOff>
    </xdr:to>
    <xdr:pic>
      <xdr:nvPicPr>
        <xdr:cNvPr id="5" name="Picture 4" descr="Exploring the evolution of the Netflix logo over time - abella diseño ...">
          <a:extLst>
            <a:ext uri="{FF2B5EF4-FFF2-40B4-BE49-F238E27FC236}">
              <a16:creationId xmlns:a16="http://schemas.microsoft.com/office/drawing/2014/main" id="{C4924166-438F-4860-9059-B19F535A9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0909" y="16230600"/>
          <a:ext cx="1231315" cy="447675"/>
        </a:xfrm>
        <a:prstGeom prst="rect">
          <a:avLst/>
        </a:prstGeom>
        <a:noFill/>
        <a:effectLst>
          <a:outerShdw blurRad="50800" dist="38100" algn="l" rotWithShape="0">
            <a:prstClr val="black">
              <a:alpha val="40000"/>
            </a:prstClr>
          </a:outerShdw>
          <a:reflection blurRad="6350" stA="50000" endA="300" endPos="55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295275</xdr:colOff>
      <xdr:row>74</xdr:row>
      <xdr:rowOff>104258</xdr:rowOff>
    </xdr:from>
    <xdr:to>
      <xdr:col>4</xdr:col>
      <xdr:colOff>1352550</xdr:colOff>
      <xdr:row>74</xdr:row>
      <xdr:rowOff>609600</xdr:rowOff>
    </xdr:to>
    <xdr:pic>
      <xdr:nvPicPr>
        <xdr:cNvPr id="6" name="Picture 5" descr="Nike Logo SVG File | Etsy">
          <a:extLst>
            <a:ext uri="{FF2B5EF4-FFF2-40B4-BE49-F238E27FC236}">
              <a16:creationId xmlns:a16="http://schemas.microsoft.com/office/drawing/2014/main" id="{C9F0CDE9-FBE0-428E-AA09-E2B1C11872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0175" y="17039708"/>
          <a:ext cx="1057275" cy="505342"/>
        </a:xfrm>
        <a:prstGeom prst="rect">
          <a:avLst/>
        </a:prstGeom>
        <a:noFill/>
        <a:effectLst>
          <a:outerShdw blurRad="63500" sx="102000" sy="102000" algn="ctr" rotWithShape="0">
            <a:prstClr val="black">
              <a:alpha val="82000"/>
            </a:prstClr>
          </a:outerShdw>
        </a:effectLst>
        <a:scene3d>
          <a:camera prst="orthographicFront"/>
          <a:lightRig rig="threePt" dir="t"/>
        </a:scene3d>
        <a:sp3d prstMaterial="matte"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247651</xdr:colOff>
      <xdr:row>72</xdr:row>
      <xdr:rowOff>108073</xdr:rowOff>
    </xdr:from>
    <xdr:to>
      <xdr:col>4</xdr:col>
      <xdr:colOff>1428750</xdr:colOff>
      <xdr:row>72</xdr:row>
      <xdr:rowOff>737357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7751AE8-C9B0-4883-919D-E618527EE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162551" y="15443323"/>
          <a:ext cx="1181099" cy="629284"/>
        </a:xfrm>
        <a:prstGeom prst="rect">
          <a:avLst/>
        </a:prstGeom>
        <a:effectLst>
          <a:outerShdw blurRad="50800" dist="38100" dir="13500000" algn="br" rotWithShape="0">
            <a:schemeClr val="tx1">
              <a:alpha val="67000"/>
            </a:schemeClr>
          </a:outerShdw>
        </a:effectLst>
      </xdr:spPr>
    </xdr:pic>
    <xdr:clientData/>
  </xdr:twoCellAnchor>
  <xdr:twoCellAnchor>
    <xdr:from>
      <xdr:col>4</xdr:col>
      <xdr:colOff>733425</xdr:colOff>
      <xdr:row>102</xdr:row>
      <xdr:rowOff>71437</xdr:rowOff>
    </xdr:from>
    <xdr:to>
      <xdr:col>8</xdr:col>
      <xdr:colOff>581025</xdr:colOff>
      <xdr:row>116</xdr:row>
      <xdr:rowOff>147637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01436B50-E75B-4B20-8AC1-198F11FD93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95825" y="23817262"/>
              <a:ext cx="4171950" cy="2962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847725</xdr:colOff>
      <xdr:row>102</xdr:row>
      <xdr:rowOff>61912</xdr:rowOff>
    </xdr:from>
    <xdr:to>
      <xdr:col>13</xdr:col>
      <xdr:colOff>209550</xdr:colOff>
      <xdr:row>116</xdr:row>
      <xdr:rowOff>138112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A3650DC-72D6-4520-80E8-39D83DA02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209549</xdr:colOff>
      <xdr:row>92</xdr:row>
      <xdr:rowOff>95250</xdr:rowOff>
    </xdr:from>
    <xdr:to>
      <xdr:col>15</xdr:col>
      <xdr:colOff>76199</xdr:colOff>
      <xdr:row>101</xdr:row>
      <xdr:rowOff>90487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75FB79-7079-4E26-A280-FD4AE2B63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257175</xdr:colOff>
      <xdr:row>102</xdr:row>
      <xdr:rowOff>71437</xdr:rowOff>
    </xdr:from>
    <xdr:to>
      <xdr:col>4</xdr:col>
      <xdr:colOff>504825</xdr:colOff>
      <xdr:row>116</xdr:row>
      <xdr:rowOff>147637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050D84A-0C41-48A6-861D-55ECCD0D9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9D5EB-21CD-4F95-B4D9-77EE05941325}" name="Table1" displayName="Table1" ref="R35:V45" totalsRowShown="0" headerRowDxfId="73" dataDxfId="71" headerRowBorderDxfId="72" tableBorderDxfId="70" totalsRowBorderDxfId="69">
  <tableColumns count="5">
    <tableColumn id="1" xr3:uid="{352A10C5-BB0B-4FDE-80AE-455386BE9667}" name="Date" dataDxfId="68"/>
    <tableColumn id="2" xr3:uid="{AF5F652D-9D24-4F0D-B2E5-75839B937743}" name="Product" dataDxfId="67"/>
    <tableColumn id="3" xr3:uid="{1337D5F0-4009-40FC-987E-98F283D33A09}" name="Color" dataDxfId="66"/>
    <tableColumn id="4" xr3:uid="{15F381C3-CC15-4D66-BE0D-5C34F3CE9514}" name="Region" dataDxfId="65"/>
    <tableColumn id="5" xr3:uid="{EF05EFBA-A936-4944-9FBB-1C57F0175CCD}" name="Value" dataDxfId="64" dataCellStyle="Bad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705D9D-B5F0-43AB-A4FB-9C346BA609AC}" name="Table2" displayName="Table2" ref="R59:AB63" totalsRowShown="0" headerRowDxfId="63" dataDxfId="61" headerRowBorderDxfId="62" tableBorderDxfId="60" totalsRowBorderDxfId="59" headerRowCellStyle="Normal">
  <tableColumns count="11">
    <tableColumn id="1" xr3:uid="{D22DCEB6-CE53-48B7-888E-F9520577C052}" name="Date" dataDxfId="58"/>
    <tableColumn id="2" xr3:uid="{72FE7388-4DCD-4F56-8166-F5D4C7C433F2}" name="01-01-2026" dataDxfId="57"/>
    <tableColumn id="3" xr3:uid="{ABC075EC-3482-4BBB-AB97-2BF9A0B3095B}" name="02-01-2026" dataDxfId="56"/>
    <tableColumn id="4" xr3:uid="{556B3271-F900-4258-A590-D4F8AE1E42BE}" name="03-01-2026" dataDxfId="55"/>
    <tableColumn id="5" xr3:uid="{3BBD822D-9D79-4CB3-A693-7812BDFFD990}" name="04-01-2026" dataDxfId="54"/>
    <tableColumn id="6" xr3:uid="{E2BE5FB2-0857-414B-B465-B307B5C0C26C}" name="05-01-2026" dataDxfId="53"/>
    <tableColumn id="7" xr3:uid="{88DB2FBF-D34F-428A-AAF9-C58DF242D286}" name="06-01-2026" dataDxfId="52"/>
    <tableColumn id="8" xr3:uid="{53361D26-9ECC-4947-B8AE-28AB306832C5}" name="07-01-2026" dataDxfId="51"/>
    <tableColumn id="9" xr3:uid="{132D6E72-03C5-4E8D-B8CD-19DD4F586120}" name="08-01-2026" dataDxfId="50"/>
    <tableColumn id="10" xr3:uid="{C9F005A5-F68A-42E7-84F6-4B1B4FA925AA}" name="09-01-2026" dataDxfId="49"/>
    <tableColumn id="11" xr3:uid="{66345DBD-3BCB-4A0B-BF3D-65589837D660}" name="10-01-2026" dataDxfId="4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8BAC89-08BD-4E81-8B91-B802BCFB6257}" name="Table3" displayName="Table3" ref="Q70:T77" totalsRowShown="0" headerRowDxfId="47" headerRowBorderDxfId="46" tableBorderDxfId="45" totalsRowBorderDxfId="44">
  <tableColumns count="4">
    <tableColumn id="1" xr3:uid="{9A7CC5F0-4E9F-4F2E-834A-3F35DE3F9452}" name="AGE" dataDxfId="43"/>
    <tableColumn id="2" xr3:uid="{0D6AEBE5-826C-4A88-88CC-6FFC709131F9}" name="IF" dataDxfId="42"/>
    <tableColumn id="3" xr3:uid="{AC2F8A01-D984-4CBB-8879-86004F1B1B23}" name="IFELSE" dataDxfId="41">
      <calculatedColumnFormula>IF(Table3[[#This Row],[AGE]]&lt;10,"under10",IF(Table3[[#This Row],[AGE]]&gt;15,"above 15","10-15"))</calculatedColumnFormula>
    </tableColumn>
    <tableColumn id="4" xr3:uid="{896FF462-17D8-41AC-B8BB-0D6C823B0519}" name="IFELSE LADER" dataDxfId="40">
      <calculatedColumnFormula>IF(Table3[[#This Row],[AGE]]&gt;=20,"20-30",IF(Table3[[#This Row],[AGE]]&gt;=30,"30-40",IF(Table3[[#This Row],[AGE]]&gt;=40,"above 40","below 20")))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492118-5F5B-4637-83CD-B2572FDA4D7D}" name="Table4" displayName="Table4" ref="V70:AC77" totalsRowShown="0" headerRowDxfId="39" headerRowBorderDxfId="38" tableBorderDxfId="37" totalsRowBorderDxfId="36">
  <tableColumns count="8">
    <tableColumn id="1" xr3:uid="{FE050A8F-8E9B-4651-8D2C-423727540A36}" name="sub1" dataDxfId="35"/>
    <tableColumn id="2" xr3:uid="{BB18B355-273E-4FBE-BEAB-59443EAC6C81}" name="sub2" dataDxfId="34"/>
    <tableColumn id="3" xr3:uid="{D9A24812-73B9-4DE0-8946-984724DDD8E5}" name="AND" dataDxfId="33">
      <calculatedColumnFormula>AND(V71&gt;25,W71&gt;25)</calculatedColumnFormula>
    </tableColumn>
    <tableColumn id="4" xr3:uid="{8CE669BF-00B6-4CC5-B0F1-37CA1ADB8A15}" name="OR" dataDxfId="32">
      <calculatedColumnFormula>OR(V71&gt;25,W71&gt;25)</calculatedColumnFormula>
    </tableColumn>
    <tableColumn id="5" xr3:uid="{B1DB3CFB-D86D-4A75-9478-BD2359D99AF4}" name="result AND" dataDxfId="31">
      <calculatedColumnFormula>IF(X71,"Pass","Fail")</calculatedColumnFormula>
    </tableColumn>
    <tableColumn id="6" xr3:uid="{0D17751A-142D-4DB6-A6CE-1858522A2AD0}" name="reslut OR" dataDxfId="30">
      <calculatedColumnFormula>IF(Y71,"Pass","Fail")</calculatedColumnFormula>
    </tableColumn>
    <tableColumn id="7" xr3:uid="{B30B6391-2AF7-4927-B763-6CD587E80321}" name="XOR" dataDxfId="29">
      <calculatedColumnFormula>_xlfn.XOR(V71&gt;25,W71&gt;25)</calculatedColumnFormula>
    </tableColumn>
    <tableColumn id="8" xr3:uid="{2FDFC324-6FA4-47C4-9666-A83DC86DE7E5}" name="NOT(AND)" dataDxfId="28">
      <calculatedColumnFormula>NOT(X71)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03DA8-4ABE-4AB9-8D54-E7ED18C519DB}" name="Table16" displayName="Table16" ref="R35:V45" totalsRowShown="0" headerRowDxfId="119" dataDxfId="117" headerRowBorderDxfId="118" tableBorderDxfId="116" totalsRowBorderDxfId="115">
  <tableColumns count="5">
    <tableColumn id="1" xr3:uid="{2685198C-BC63-4CA5-A8E5-0C4A1C7F839B}" name="Date" dataDxfId="114"/>
    <tableColumn id="2" xr3:uid="{EA6A569B-46E3-429E-8E2D-EED05658DEA6}" name="Product" dataDxfId="113"/>
    <tableColumn id="3" xr3:uid="{3F453CBA-A8AA-4509-9731-55E2E2C2997C}" name="Color" dataDxfId="112"/>
    <tableColumn id="4" xr3:uid="{26F00FB0-3B98-48D1-988D-D9BCA00CFC58}" name="Region" dataDxfId="111"/>
    <tableColumn id="5" xr3:uid="{34E5AD3E-9CAE-4004-90E5-C6A0D7B37CB6}" name="Value" dataDxfId="110" dataCellStyle="Bad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AE670-BB8C-44C9-9123-125608F0180E}" name="Table27" displayName="Table27" ref="R59:AB63" totalsRowShown="0" headerRowDxfId="109" dataDxfId="107" headerRowBorderDxfId="108" tableBorderDxfId="106" totalsRowBorderDxfId="105" headerRowCellStyle="Normal">
  <tableColumns count="11">
    <tableColumn id="1" xr3:uid="{25DF66FC-0E58-433C-B8ED-C8AC4B3A97F9}" name="Date" dataDxfId="104"/>
    <tableColumn id="2" xr3:uid="{DAB28096-0B24-4208-94D5-5D7D5C3834AE}" name="01-01-2026" dataDxfId="103"/>
    <tableColumn id="3" xr3:uid="{EBC518EC-D559-4D26-9382-2AB34F53104A}" name="02-01-2026" dataDxfId="102"/>
    <tableColumn id="4" xr3:uid="{CE079449-4B59-4111-A587-C88857274A98}" name="03-01-2026" dataDxfId="101"/>
    <tableColumn id="5" xr3:uid="{0BFC57B2-D3AC-42E3-9196-19E39DBB25EF}" name="04-01-2026" dataDxfId="100"/>
    <tableColumn id="6" xr3:uid="{AC3598C1-B71D-4DA3-B735-EAAB57B7B902}" name="05-01-2026" dataDxfId="99"/>
    <tableColumn id="7" xr3:uid="{694B3E6E-AA2E-4062-AC70-7BDCECD78EB7}" name="06-01-2026" dataDxfId="98"/>
    <tableColumn id="8" xr3:uid="{8FA2A5E8-06FC-458A-995D-BDCE7DB8B62B}" name="07-01-2026" dataDxfId="97"/>
    <tableColumn id="9" xr3:uid="{CD2A83D3-14F0-41E8-B379-AFA86983B299}" name="08-01-2026" dataDxfId="96"/>
    <tableColumn id="10" xr3:uid="{44DF0535-8650-45CB-BA1E-BAC4113D4206}" name="09-01-2026" dataDxfId="95"/>
    <tableColumn id="11" xr3:uid="{F7D8C454-FC79-4D39-9D0C-CE28513C52BB}" name="10-01-2026" dataDxfId="9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A528E6-395C-430A-AFB6-57391EB2708A}" name="Table38" displayName="Table38" ref="Q70:T77" totalsRowShown="0" headerRowDxfId="93" headerRowBorderDxfId="92" tableBorderDxfId="91" totalsRowBorderDxfId="90">
  <tableColumns count="4">
    <tableColumn id="1" xr3:uid="{264E32F8-C79A-4901-8156-5E9375BA9B02}" name="AGE" dataDxfId="89"/>
    <tableColumn id="2" xr3:uid="{73472014-7F28-464C-90A9-1D63668B2564}" name="IF" dataDxfId="88"/>
    <tableColumn id="3" xr3:uid="{B5DAC6B2-9F8D-4B90-A30D-69D915691B82}" name="IFELSE" dataDxfId="87">
      <calculatedColumnFormula>IF(Table38[[#This Row],[AGE]]&lt;10,"under10",IF(Table38[[#This Row],[AGE]]&gt;15,"above 15","10-15"))</calculatedColumnFormula>
    </tableColumn>
    <tableColumn id="4" xr3:uid="{C79BEF1C-933B-409A-BFB2-E65A613F9DA6}" name="IFELSE LADER" dataDxfId="86">
      <calculatedColumnFormula>IF(Table38[[#This Row],[AGE]]&gt;=20,"20-30",IF(Table38[[#This Row],[AGE]]&gt;=30,"30-40",IF(Table38[[#This Row],[AGE]]&gt;=40,"above 40","below 20")))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087D74-6724-4A25-A749-7156C7E0D6B0}" name="Table49" displayName="Table49" ref="V70:AC77" totalsRowShown="0" headerRowDxfId="85" headerRowBorderDxfId="84" tableBorderDxfId="83" totalsRowBorderDxfId="82">
  <tableColumns count="8">
    <tableColumn id="1" xr3:uid="{77DD433E-BE21-4914-9DC3-FDAFF21E0BE0}" name="sub1" dataDxfId="81"/>
    <tableColumn id="2" xr3:uid="{E3ED3296-D2AF-4732-B26C-29F8D1E7B9B5}" name="sub2" dataDxfId="80"/>
    <tableColumn id="3" xr3:uid="{36628552-CA0D-493F-82DC-ACC40688DA4B}" name="AND" dataDxfId="79">
      <calculatedColumnFormula>AND(V71&gt;25,W71&gt;25)</calculatedColumnFormula>
    </tableColumn>
    <tableColumn id="4" xr3:uid="{78B5A6F1-3BC8-4669-82FE-ADDADE60FE35}" name="OR" dataDxfId="78">
      <calculatedColumnFormula>OR(V71&gt;25,W71&gt;25)</calculatedColumnFormula>
    </tableColumn>
    <tableColumn id="5" xr3:uid="{A838B5E3-F487-489D-92BE-3D3077076C8C}" name="result AND" dataDxfId="77">
      <calculatedColumnFormula>IF(X71,"Pass","Fail")</calculatedColumnFormula>
    </tableColumn>
    <tableColumn id="6" xr3:uid="{F306D07A-D469-48BA-AC51-D797A2EEF37C}" name="reslut OR" dataDxfId="76">
      <calculatedColumnFormula>IF(Y71,"Pass","Fail")</calculatedColumnFormula>
    </tableColumn>
    <tableColumn id="7" xr3:uid="{082B923B-096E-4D43-B340-10AFE57A8A3C}" name="XOR" dataDxfId="75">
      <calculatedColumnFormula>_xlfn.XOR(V71&gt;25,W71&gt;25)</calculatedColumnFormula>
    </tableColumn>
    <tableColumn id="8" xr3:uid="{7C0A29BE-E588-4C30-B869-7B171B3E1F6E}" name="NOT(AND)" dataDxfId="74">
      <calculatedColumnFormula>NOT(X71)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B985-C9A3-4AEC-B746-39BD1860B523}">
  <dimension ref="A1:AC173"/>
  <sheetViews>
    <sheetView zoomScale="10" zoomScaleNormal="10" workbookViewId="0">
      <selection activeCell="AE183" sqref="A1:AE183"/>
    </sheetView>
  </sheetViews>
  <sheetFormatPr defaultRowHeight="15" x14ac:dyDescent="0.25"/>
  <cols>
    <col min="1" max="1" width="12.140625" customWidth="1"/>
    <col min="2" max="2" width="15.42578125" customWidth="1"/>
    <col min="3" max="3" width="30.85546875" customWidth="1"/>
    <col min="4" max="4" width="15.28515625" customWidth="1"/>
    <col min="5" max="5" width="24" customWidth="1"/>
    <col min="6" max="6" width="16.140625" customWidth="1"/>
    <col min="7" max="7" width="15" customWidth="1"/>
    <col min="8" max="8" width="15.7109375" customWidth="1"/>
    <col min="9" max="9" width="13.7109375" customWidth="1"/>
    <col min="10" max="10" width="13.5703125" customWidth="1"/>
    <col min="11" max="11" width="14" customWidth="1"/>
    <col min="12" max="12" width="14.140625" customWidth="1"/>
    <col min="13" max="13" width="16" customWidth="1"/>
    <col min="14" max="14" width="11.42578125" customWidth="1"/>
    <col min="15" max="15" width="13" customWidth="1"/>
    <col min="16" max="16" width="16" customWidth="1"/>
    <col min="17" max="18" width="16.7109375" customWidth="1"/>
    <col min="19" max="19" width="20.28515625" customWidth="1"/>
    <col min="20" max="20" width="16.140625" customWidth="1"/>
    <col min="21" max="21" width="18.7109375" customWidth="1"/>
    <col min="22" max="22" width="13.5703125" customWidth="1"/>
    <col min="23" max="24" width="17.140625" customWidth="1"/>
    <col min="25" max="26" width="12.5703125" customWidth="1"/>
    <col min="27" max="27" width="12.7109375" customWidth="1"/>
    <col min="28" max="28" width="12.5703125" customWidth="1"/>
    <col min="30" max="30" width="12.42578125" customWidth="1"/>
    <col min="267" max="289" width="9.140625" customWidth="1"/>
  </cols>
  <sheetData>
    <row r="1" spans="1:24" ht="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53</v>
      </c>
      <c r="R1" s="1"/>
      <c r="S1" s="50" t="s">
        <v>54</v>
      </c>
      <c r="V1" s="50" t="s">
        <v>62</v>
      </c>
    </row>
    <row r="2" spans="1:24" x14ac:dyDescent="0.25">
      <c r="A2" t="s">
        <v>33</v>
      </c>
      <c r="B2" t="s">
        <v>14</v>
      </c>
      <c r="C2">
        <v>2015</v>
      </c>
      <c r="D2">
        <v>11.1</v>
      </c>
      <c r="E2">
        <v>13</v>
      </c>
      <c r="F2">
        <v>105.824</v>
      </c>
      <c r="G2">
        <v>27.8</v>
      </c>
      <c r="H2">
        <v>76.5</v>
      </c>
      <c r="I2" s="24">
        <f t="shared" ref="I2:I33" si="0">ROUND(F2,2)</f>
        <v>105.82</v>
      </c>
      <c r="J2" s="24">
        <f t="shared" ref="J2:J33" si="1">SQRT(E2)</f>
        <v>3.6055512754639891</v>
      </c>
      <c r="K2" s="24" t="str">
        <f t="shared" ref="K2:K33" si="2">LEFT(A2,3)</f>
        <v>Afr</v>
      </c>
      <c r="L2" s="24" t="str">
        <f t="shared" ref="L2:L33" si="3">RIGHT(B2,3)</f>
        <v>ast</v>
      </c>
      <c r="M2" s="24" t="e">
        <f t="shared" ref="M2:M33" si="4">RANK(G2,G:G,1)</f>
        <v>#NUM!</v>
      </c>
      <c r="N2" s="24">
        <f>LEN(A2)</f>
        <v>6</v>
      </c>
      <c r="O2" s="24">
        <f>ROUND(SQRT(J2),1)</f>
        <v>1.9</v>
      </c>
      <c r="S2" s="2" t="s">
        <v>55</v>
      </c>
      <c r="T2" s="5">
        <f ca="1">TODAY()</f>
        <v>46179</v>
      </c>
      <c r="V2" s="25"/>
      <c r="W2" s="26" t="s">
        <v>65</v>
      </c>
      <c r="X2" s="26" t="s">
        <v>63</v>
      </c>
    </row>
    <row r="3" spans="1:24" x14ac:dyDescent="0.25">
      <c r="A3" t="s">
        <v>16</v>
      </c>
      <c r="B3" t="s">
        <v>15</v>
      </c>
      <c r="C3">
        <v>2015</v>
      </c>
      <c r="D3">
        <v>2.7</v>
      </c>
      <c r="E3">
        <v>3.3</v>
      </c>
      <c r="F3">
        <v>57.902500000000003</v>
      </c>
      <c r="G3">
        <v>26</v>
      </c>
      <c r="H3">
        <v>82.8</v>
      </c>
      <c r="I3" s="24">
        <f t="shared" si="0"/>
        <v>57.9</v>
      </c>
      <c r="J3" s="24">
        <f t="shared" si="1"/>
        <v>1.8165902124584949</v>
      </c>
      <c r="K3" s="24" t="str">
        <f t="shared" si="2"/>
        <v>Asi</v>
      </c>
      <c r="L3" s="24" t="str">
        <f t="shared" si="3"/>
        <v>ion</v>
      </c>
      <c r="M3" s="24" t="e">
        <f t="shared" si="4"/>
        <v>#NUM!</v>
      </c>
      <c r="N3" s="24">
        <f t="shared" ref="N3:N13" si="5">LEN(A3)</f>
        <v>4</v>
      </c>
      <c r="O3" s="24">
        <f t="shared" ref="O3:O34" si="6">ROUND(SQRT(E3),1)</f>
        <v>1.8</v>
      </c>
      <c r="P3" t="s">
        <v>18</v>
      </c>
      <c r="Q3" s="9">
        <f>MIN(F:F)</f>
        <v>0.79883292383292004</v>
      </c>
      <c r="S3" s="2" t="s">
        <v>56</v>
      </c>
      <c r="T3" s="5">
        <f ca="1">EOMONTH(TODAY(),4)</f>
        <v>46326</v>
      </c>
      <c r="V3" s="11" t="s">
        <v>33</v>
      </c>
      <c r="W3" s="11" cm="1">
        <f t="array" ref="W3:W13">FIND("i",V3:V13,1)</f>
        <v>4</v>
      </c>
      <c r="X3" s="11" t="str" cm="1">
        <f t="array" ref="X3:X13">REPLACE(V3:V13,2,3,"abc")</f>
        <v>Aabcca</v>
      </c>
    </row>
    <row r="4" spans="1:24" x14ac:dyDescent="0.25">
      <c r="A4" t="s">
        <v>33</v>
      </c>
      <c r="B4" t="s">
        <v>16</v>
      </c>
      <c r="C4">
        <v>2007</v>
      </c>
      <c r="D4">
        <v>51.5</v>
      </c>
      <c r="E4">
        <v>67.900000000000006</v>
      </c>
      <c r="F4">
        <v>201.07650000000001</v>
      </c>
      <c r="G4">
        <v>21.2</v>
      </c>
      <c r="H4">
        <v>65.400000000000006</v>
      </c>
      <c r="I4" s="24">
        <f t="shared" si="0"/>
        <v>201.08</v>
      </c>
      <c r="J4" s="24">
        <f t="shared" si="1"/>
        <v>8.2401456297810665</v>
      </c>
      <c r="K4" s="24" t="str">
        <f t="shared" si="2"/>
        <v>Afr</v>
      </c>
      <c r="L4" s="24" t="str">
        <f t="shared" si="3"/>
        <v>sia</v>
      </c>
      <c r="M4" s="24" t="e">
        <f t="shared" si="4"/>
        <v>#NUM!</v>
      </c>
      <c r="N4" s="24">
        <f t="shared" si="5"/>
        <v>6</v>
      </c>
      <c r="O4" s="24">
        <f t="shared" si="6"/>
        <v>8.1999999999999993</v>
      </c>
      <c r="P4" t="s">
        <v>19</v>
      </c>
      <c r="Q4" s="9">
        <f>MAX(F:F)</f>
        <v>789523224</v>
      </c>
      <c r="S4" s="2" t="s">
        <v>57</v>
      </c>
      <c r="T4" s="4">
        <f ca="1">NETWORKDAYS(TODAY()+2,TODAY()+5)</f>
        <v>4</v>
      </c>
      <c r="V4" s="11" t="s">
        <v>16</v>
      </c>
      <c r="W4" s="11">
        <v>3</v>
      </c>
      <c r="X4" s="11" t="str">
        <v>Aabc</v>
      </c>
    </row>
    <row r="5" spans="1:24" x14ac:dyDescent="0.25">
      <c r="A5" t="s">
        <v>33</v>
      </c>
      <c r="B5" t="s">
        <v>17</v>
      </c>
      <c r="C5">
        <v>2006</v>
      </c>
      <c r="D5">
        <v>32.799999999999997</v>
      </c>
      <c r="E5">
        <v>40.5</v>
      </c>
      <c r="F5">
        <v>222.19649999999999</v>
      </c>
      <c r="G5">
        <v>25.3</v>
      </c>
      <c r="H5">
        <v>67</v>
      </c>
      <c r="I5" s="24">
        <f t="shared" si="0"/>
        <v>222.2</v>
      </c>
      <c r="J5" s="24">
        <f t="shared" si="1"/>
        <v>6.3639610306789276</v>
      </c>
      <c r="K5" s="24" t="str">
        <f t="shared" si="2"/>
        <v>Afr</v>
      </c>
      <c r="L5" s="24" t="str">
        <f t="shared" si="3"/>
        <v>ica</v>
      </c>
      <c r="M5" s="24" t="e">
        <f t="shared" si="4"/>
        <v>#NUM!</v>
      </c>
      <c r="N5" s="24">
        <f t="shared" si="5"/>
        <v>6</v>
      </c>
      <c r="O5" s="24">
        <f t="shared" si="6"/>
        <v>6.4</v>
      </c>
      <c r="P5" t="s">
        <v>21</v>
      </c>
      <c r="Q5" s="9" t="e">
        <f>SUM(G:G)</f>
        <v>#NUM!</v>
      </c>
      <c r="S5" s="2" t="s">
        <v>58</v>
      </c>
      <c r="T5" s="4">
        <f ca="1">WEEKDAY(TODAY()+2,2)</f>
        <v>1</v>
      </c>
      <c r="V5" s="11" t="s">
        <v>33</v>
      </c>
      <c r="W5" s="11">
        <v>4</v>
      </c>
      <c r="X5" s="11" t="str">
        <v>Aabcca</v>
      </c>
    </row>
    <row r="6" spans="1:24" x14ac:dyDescent="0.25">
      <c r="A6" t="s">
        <v>16</v>
      </c>
      <c r="B6" t="s">
        <v>14</v>
      </c>
      <c r="C6">
        <v>2012</v>
      </c>
      <c r="D6">
        <v>3.4</v>
      </c>
      <c r="E6">
        <v>4.3</v>
      </c>
      <c r="F6">
        <v>57.951000000000001</v>
      </c>
      <c r="G6">
        <v>27</v>
      </c>
      <c r="H6">
        <v>81.7</v>
      </c>
      <c r="I6" s="24">
        <f t="shared" si="0"/>
        <v>57.95</v>
      </c>
      <c r="J6" s="24">
        <f t="shared" si="1"/>
        <v>2.0736441353327719</v>
      </c>
      <c r="K6" s="24" t="str">
        <f t="shared" si="2"/>
        <v>Asi</v>
      </c>
      <c r="L6" s="24" t="str">
        <f t="shared" si="3"/>
        <v>ast</v>
      </c>
      <c r="M6" s="24" t="e">
        <f t="shared" si="4"/>
        <v>#NUM!</v>
      </c>
      <c r="N6" s="24">
        <f t="shared" si="5"/>
        <v>4</v>
      </c>
      <c r="O6" s="24">
        <f t="shared" si="6"/>
        <v>2.1</v>
      </c>
      <c r="P6" t="s">
        <v>23</v>
      </c>
      <c r="Q6" s="9" t="e">
        <f>AVERAGE(G:G)</f>
        <v>#NUM!</v>
      </c>
      <c r="S6" s="2" t="s">
        <v>59</v>
      </c>
      <c r="T6" s="4">
        <f ca="1">YEAR(TODAY())</f>
        <v>2026</v>
      </c>
      <c r="V6" s="11" t="s">
        <v>33</v>
      </c>
      <c r="W6" s="11">
        <v>4</v>
      </c>
      <c r="X6" s="11" t="str">
        <v>Aabcca</v>
      </c>
    </row>
    <row r="7" spans="1:24" x14ac:dyDescent="0.25">
      <c r="A7" t="s">
        <v>33</v>
      </c>
      <c r="B7" t="s">
        <v>20</v>
      </c>
      <c r="C7">
        <v>2006</v>
      </c>
      <c r="D7">
        <v>9.8000000000000007</v>
      </c>
      <c r="E7">
        <v>11.2</v>
      </c>
      <c r="F7">
        <v>95.22</v>
      </c>
      <c r="G7">
        <v>26.4</v>
      </c>
      <c r="H7">
        <v>78.2</v>
      </c>
      <c r="I7" s="24">
        <f t="shared" si="0"/>
        <v>95.22</v>
      </c>
      <c r="J7" s="24">
        <f t="shared" si="1"/>
        <v>3.3466401061363023</v>
      </c>
      <c r="K7" s="24" t="str">
        <f t="shared" si="2"/>
        <v>Afr</v>
      </c>
      <c r="L7" s="24" t="str">
        <f t="shared" si="3"/>
        <v>ean</v>
      </c>
      <c r="M7" s="24" t="e">
        <f t="shared" si="4"/>
        <v>#NUM!</v>
      </c>
      <c r="N7" s="24">
        <f t="shared" si="5"/>
        <v>6</v>
      </c>
      <c r="O7" s="24">
        <f t="shared" si="6"/>
        <v>3.3</v>
      </c>
      <c r="P7" t="s">
        <v>24</v>
      </c>
      <c r="Q7" s="9" t="e">
        <f>MEDIAN(G:G)</f>
        <v>#NUM!</v>
      </c>
      <c r="S7" s="2" t="s">
        <v>60</v>
      </c>
      <c r="T7" s="4">
        <f ca="1">MONTH(TODAY()+35)</f>
        <v>7</v>
      </c>
      <c r="V7" s="11" t="s">
        <v>16</v>
      </c>
      <c r="W7" s="11">
        <v>3</v>
      </c>
      <c r="X7" s="11" t="str">
        <v>Aabc</v>
      </c>
    </row>
    <row r="8" spans="1:24" x14ac:dyDescent="0.25">
      <c r="A8" t="s">
        <v>33</v>
      </c>
      <c r="B8" t="s">
        <v>22</v>
      </c>
      <c r="C8">
        <v>2015</v>
      </c>
      <c r="D8">
        <v>6.6</v>
      </c>
      <c r="E8">
        <v>8.1999999999999993</v>
      </c>
      <c r="F8">
        <v>223</v>
      </c>
      <c r="G8">
        <v>26.2</v>
      </c>
      <c r="H8">
        <v>71.2</v>
      </c>
      <c r="I8" s="24">
        <f t="shared" si="0"/>
        <v>223</v>
      </c>
      <c r="J8" s="24">
        <f t="shared" si="1"/>
        <v>2.8635642126552705</v>
      </c>
      <c r="K8" s="24" t="str">
        <f t="shared" si="2"/>
        <v>Afr</v>
      </c>
      <c r="L8" s="24" t="str">
        <f t="shared" si="3"/>
        <v>ope</v>
      </c>
      <c r="M8" s="24" t="e">
        <f t="shared" si="4"/>
        <v>#NUM!</v>
      </c>
      <c r="N8" s="24">
        <f t="shared" si="5"/>
        <v>6</v>
      </c>
      <c r="O8" s="24">
        <f t="shared" si="6"/>
        <v>2.9</v>
      </c>
      <c r="S8" s="2" t="s">
        <v>61</v>
      </c>
      <c r="T8" s="4">
        <f ca="1">DAY(TODAY()+5)</f>
        <v>11</v>
      </c>
      <c r="V8" s="11" t="s">
        <v>33</v>
      </c>
      <c r="W8" s="11">
        <v>4</v>
      </c>
      <c r="X8" s="11" t="str">
        <v>Aabcca</v>
      </c>
    </row>
    <row r="9" spans="1:24" x14ac:dyDescent="0.25">
      <c r="A9" t="s">
        <v>66</v>
      </c>
      <c r="B9" t="s">
        <v>15</v>
      </c>
      <c r="C9">
        <v>2000</v>
      </c>
      <c r="D9">
        <v>8.6999999999999993</v>
      </c>
      <c r="E9">
        <v>10.1</v>
      </c>
      <c r="F9">
        <v>192.96899999999999</v>
      </c>
      <c r="G9">
        <v>25.9</v>
      </c>
      <c r="H9">
        <v>71.2</v>
      </c>
      <c r="I9" s="24">
        <f t="shared" si="0"/>
        <v>192.97</v>
      </c>
      <c r="J9" s="24">
        <f t="shared" si="1"/>
        <v>3.1780497164141406</v>
      </c>
      <c r="K9" s="24" t="str">
        <f t="shared" si="2"/>
        <v>Eur</v>
      </c>
      <c r="L9" s="24" t="str">
        <f t="shared" si="3"/>
        <v>ion</v>
      </c>
      <c r="M9" s="24" t="e">
        <f t="shared" si="4"/>
        <v>#NUM!</v>
      </c>
      <c r="N9" s="24">
        <f t="shared" si="5"/>
        <v>9</v>
      </c>
      <c r="O9" s="24">
        <f t="shared" si="6"/>
        <v>3.2</v>
      </c>
      <c r="V9" s="11" t="s">
        <v>33</v>
      </c>
      <c r="W9" s="11">
        <v>4</v>
      </c>
      <c r="X9" s="11" t="str">
        <v>Aabcca</v>
      </c>
    </row>
    <row r="10" spans="1:24" x14ac:dyDescent="0.25">
      <c r="A10" t="s">
        <v>16</v>
      </c>
      <c r="B10" t="s">
        <v>14</v>
      </c>
      <c r="C10">
        <v>2001</v>
      </c>
      <c r="D10">
        <v>22</v>
      </c>
      <c r="E10">
        <v>26.1</v>
      </c>
      <c r="F10">
        <v>129.76400000000001</v>
      </c>
      <c r="G10">
        <v>27.9</v>
      </c>
      <c r="H10">
        <v>71.900000000000006</v>
      </c>
      <c r="I10" s="24">
        <f t="shared" si="0"/>
        <v>129.76</v>
      </c>
      <c r="J10" s="24">
        <f t="shared" si="1"/>
        <v>5.1088159097779204</v>
      </c>
      <c r="K10" s="24" t="str">
        <f t="shared" si="2"/>
        <v>Asi</v>
      </c>
      <c r="L10" s="24" t="str">
        <f t="shared" si="3"/>
        <v>ast</v>
      </c>
      <c r="M10" s="24" t="e">
        <f t="shared" si="4"/>
        <v>#NUM!</v>
      </c>
      <c r="N10" s="24">
        <f t="shared" si="5"/>
        <v>4</v>
      </c>
      <c r="O10" s="24">
        <f t="shared" si="6"/>
        <v>5.0999999999999996</v>
      </c>
      <c r="V10" s="11" t="s">
        <v>66</v>
      </c>
      <c r="W10" s="11" t="e">
        <v>#VALUE!</v>
      </c>
      <c r="X10" s="11" t="str">
        <v xml:space="preserve">Eabcpean </v>
      </c>
    </row>
    <row r="11" spans="1:24" x14ac:dyDescent="0.25">
      <c r="A11" t="s">
        <v>16</v>
      </c>
      <c r="B11" t="s">
        <v>22</v>
      </c>
      <c r="C11">
        <v>2008</v>
      </c>
      <c r="D11">
        <v>15.3</v>
      </c>
      <c r="E11">
        <v>17.8</v>
      </c>
      <c r="F11">
        <v>217.857</v>
      </c>
      <c r="G11">
        <v>26.5</v>
      </c>
      <c r="H11">
        <v>68.7</v>
      </c>
      <c r="I11" s="24">
        <f t="shared" si="0"/>
        <v>217.86</v>
      </c>
      <c r="J11" s="24">
        <f t="shared" si="1"/>
        <v>4.2190046219457971</v>
      </c>
      <c r="K11" s="24" t="str">
        <f t="shared" si="2"/>
        <v>Asi</v>
      </c>
      <c r="L11" s="24" t="str">
        <f t="shared" si="3"/>
        <v>ope</v>
      </c>
      <c r="M11" s="24" t="e">
        <f t="shared" si="4"/>
        <v>#NUM!</v>
      </c>
      <c r="N11" s="24">
        <f t="shared" si="5"/>
        <v>4</v>
      </c>
      <c r="O11" s="24">
        <f t="shared" si="6"/>
        <v>4.2</v>
      </c>
      <c r="V11" s="11" t="s">
        <v>16</v>
      </c>
      <c r="W11" s="11">
        <v>3</v>
      </c>
      <c r="X11" s="11" t="str">
        <v>Aabc</v>
      </c>
    </row>
    <row r="12" spans="1:24" x14ac:dyDescent="0.25">
      <c r="A12" t="s">
        <v>33</v>
      </c>
      <c r="B12" t="s">
        <v>17</v>
      </c>
      <c r="C12">
        <v>2012</v>
      </c>
      <c r="D12">
        <v>15.4</v>
      </c>
      <c r="E12">
        <v>17.2</v>
      </c>
      <c r="F12">
        <v>150.22450000000001</v>
      </c>
      <c r="G12">
        <v>26.1</v>
      </c>
      <c r="H12">
        <v>74.2</v>
      </c>
      <c r="I12" s="24">
        <f t="shared" si="0"/>
        <v>150.22</v>
      </c>
      <c r="J12" s="24">
        <f t="shared" si="1"/>
        <v>4.1472882706655438</v>
      </c>
      <c r="K12" s="24" t="str">
        <f t="shared" si="2"/>
        <v>Afr</v>
      </c>
      <c r="L12" s="24" t="str">
        <f t="shared" si="3"/>
        <v>ica</v>
      </c>
      <c r="M12" s="24" t="e">
        <f t="shared" si="4"/>
        <v>#NUM!</v>
      </c>
      <c r="N12" s="24">
        <f t="shared" si="5"/>
        <v>6</v>
      </c>
      <c r="O12" s="24">
        <f t="shared" si="6"/>
        <v>4.0999999999999996</v>
      </c>
      <c r="V12" s="11" t="s">
        <v>16</v>
      </c>
      <c r="W12" s="11">
        <v>3</v>
      </c>
      <c r="X12" s="11" t="str">
        <v>Aabc</v>
      </c>
    </row>
    <row r="13" spans="1:24" x14ac:dyDescent="0.25">
      <c r="A13" t="s">
        <v>26</v>
      </c>
      <c r="B13" t="s">
        <v>15</v>
      </c>
      <c r="C13">
        <v>2007</v>
      </c>
      <c r="D13">
        <v>6</v>
      </c>
      <c r="E13">
        <v>6.8</v>
      </c>
      <c r="F13">
        <v>58.018500000000003</v>
      </c>
      <c r="G13">
        <v>27.1</v>
      </c>
      <c r="H13">
        <v>79.8</v>
      </c>
      <c r="I13" s="24">
        <f t="shared" si="0"/>
        <v>58.02</v>
      </c>
      <c r="J13" s="24">
        <f t="shared" si="1"/>
        <v>2.6076809620810595</v>
      </c>
      <c r="K13" s="24" t="str">
        <f t="shared" si="2"/>
        <v>Mal</v>
      </c>
      <c r="L13" s="24" t="str">
        <f t="shared" si="3"/>
        <v>ion</v>
      </c>
      <c r="M13" s="24" t="e">
        <f t="shared" si="4"/>
        <v>#NUM!</v>
      </c>
      <c r="N13" s="24">
        <f t="shared" si="5"/>
        <v>5</v>
      </c>
      <c r="O13" s="24">
        <f t="shared" si="6"/>
        <v>2.6</v>
      </c>
      <c r="V13" s="11" t="s">
        <v>33</v>
      </c>
      <c r="W13" s="11">
        <v>4</v>
      </c>
      <c r="X13" s="11" t="str">
        <v>Aabcca</v>
      </c>
    </row>
    <row r="14" spans="1:24" ht="21" x14ac:dyDescent="0.35">
      <c r="A14" t="s">
        <v>27</v>
      </c>
      <c r="B14" t="s">
        <v>20</v>
      </c>
      <c r="C14">
        <v>2011</v>
      </c>
      <c r="D14">
        <v>13</v>
      </c>
      <c r="E14">
        <v>15.2</v>
      </c>
      <c r="F14">
        <v>165.53800000000001</v>
      </c>
      <c r="G14">
        <v>27.6</v>
      </c>
      <c r="H14">
        <v>72.3</v>
      </c>
      <c r="I14" s="24">
        <f t="shared" si="0"/>
        <v>165.54</v>
      </c>
      <c r="J14" s="24">
        <f t="shared" si="1"/>
        <v>3.8987177379235853</v>
      </c>
      <c r="K14" s="24" t="str">
        <f t="shared" si="2"/>
        <v>Bah</v>
      </c>
      <c r="L14" s="24" t="str">
        <f t="shared" si="3"/>
        <v>ean</v>
      </c>
      <c r="M14" s="24" t="e">
        <f t="shared" si="4"/>
        <v>#NUM!</v>
      </c>
      <c r="N14" s="24">
        <f t="shared" ref="N14:N40" si="7">LEN(A14)</f>
        <v>12</v>
      </c>
      <c r="O14" s="24">
        <f t="shared" si="6"/>
        <v>3.9</v>
      </c>
      <c r="Q14" s="50" t="s">
        <v>220</v>
      </c>
    </row>
    <row r="15" spans="1:24" x14ac:dyDescent="0.25">
      <c r="A15" t="s">
        <v>28</v>
      </c>
      <c r="B15" t="s">
        <v>22</v>
      </c>
      <c r="C15">
        <v>2002</v>
      </c>
      <c r="D15">
        <v>14.3</v>
      </c>
      <c r="E15">
        <v>16.600000000000001</v>
      </c>
      <c r="F15">
        <v>261.60950000000003</v>
      </c>
      <c r="G15">
        <v>25.8</v>
      </c>
      <c r="H15">
        <v>68.3</v>
      </c>
      <c r="I15" s="24">
        <f t="shared" si="0"/>
        <v>261.61</v>
      </c>
      <c r="J15" s="24">
        <f t="shared" si="1"/>
        <v>4.0743097574926725</v>
      </c>
      <c r="K15" s="24" t="str">
        <f t="shared" si="2"/>
        <v>Ukr</v>
      </c>
      <c r="L15" s="24" t="str">
        <f t="shared" si="3"/>
        <v>ope</v>
      </c>
      <c r="M15" s="24" t="e">
        <f t="shared" si="4"/>
        <v>#NUM!</v>
      </c>
      <c r="N15" s="24">
        <f t="shared" si="7"/>
        <v>7</v>
      </c>
      <c r="O15" s="24">
        <f t="shared" si="6"/>
        <v>4.0999999999999996</v>
      </c>
      <c r="R15" s="11"/>
      <c r="S15" s="27" t="s">
        <v>69</v>
      </c>
      <c r="T15" s="27" t="s">
        <v>64</v>
      </c>
      <c r="U15" s="27" t="s">
        <v>67</v>
      </c>
      <c r="V15" s="27" t="s">
        <v>68</v>
      </c>
    </row>
    <row r="16" spans="1:24" x14ac:dyDescent="0.25">
      <c r="A16" t="s">
        <v>29</v>
      </c>
      <c r="B16" t="s">
        <v>22</v>
      </c>
      <c r="C16">
        <v>2006</v>
      </c>
      <c r="D16">
        <v>4.2</v>
      </c>
      <c r="E16">
        <v>4.9000000000000004</v>
      </c>
      <c r="F16">
        <v>63.243499999999997</v>
      </c>
      <c r="G16">
        <v>25</v>
      </c>
      <c r="H16">
        <v>81.5</v>
      </c>
      <c r="I16" s="24">
        <f t="shared" si="0"/>
        <v>63.24</v>
      </c>
      <c r="J16" s="24">
        <f t="shared" si="1"/>
        <v>2.2135943621178655</v>
      </c>
      <c r="K16" s="24" t="str">
        <f t="shared" si="2"/>
        <v>Swi</v>
      </c>
      <c r="L16" s="24" t="str">
        <f t="shared" si="3"/>
        <v>ope</v>
      </c>
      <c r="M16" s="24" t="e">
        <f t="shared" si="4"/>
        <v>#NUM!</v>
      </c>
      <c r="N16" s="24">
        <f t="shared" si="7"/>
        <v>11</v>
      </c>
      <c r="O16" s="24">
        <f t="shared" si="6"/>
        <v>2.2000000000000002</v>
      </c>
      <c r="R16" s="11" t="s">
        <v>33</v>
      </c>
      <c r="S16" s="11" t="str" cm="1">
        <f t="array" ref="S16:S26">SUBSTITUTE(R16:R26,"Africa","abc")</f>
        <v>abc</v>
      </c>
      <c r="T16" s="11" t="str" cm="1">
        <f t="array" ref="T16:T26">MID(R16:R26,2,3)</f>
        <v>fri</v>
      </c>
      <c r="U16" s="11" cm="1">
        <f t="array" ref="U16:U26">SEARCH("a",R16:R26)</f>
        <v>1</v>
      </c>
      <c r="V16" s="11" t="str" cm="1">
        <f t="array" ref="V16:V26">CONCATENATE(R16:R26,_xlfn.ANCHORARRAY(T16))</f>
        <v>Africafri</v>
      </c>
    </row>
    <row r="17" spans="1:26" x14ac:dyDescent="0.25">
      <c r="A17" t="s">
        <v>30</v>
      </c>
      <c r="B17" t="s">
        <v>22</v>
      </c>
      <c r="C17">
        <v>2001</v>
      </c>
      <c r="D17">
        <v>3.8</v>
      </c>
      <c r="E17">
        <v>4.7</v>
      </c>
      <c r="F17">
        <v>80.495500000000007</v>
      </c>
      <c r="G17">
        <v>25.7</v>
      </c>
      <c r="H17">
        <v>78.8</v>
      </c>
      <c r="I17" s="24">
        <f t="shared" si="0"/>
        <v>80.5</v>
      </c>
      <c r="J17" s="24">
        <f t="shared" si="1"/>
        <v>2.16794833886788</v>
      </c>
      <c r="K17" s="24" t="str">
        <f t="shared" si="2"/>
        <v>Nor</v>
      </c>
      <c r="L17" s="24" t="str">
        <f t="shared" si="3"/>
        <v>ope</v>
      </c>
      <c r="M17" s="24" t="e">
        <f t="shared" si="4"/>
        <v>#NUM!</v>
      </c>
      <c r="N17" s="24">
        <f t="shared" si="7"/>
        <v>6</v>
      </c>
      <c r="O17" s="24">
        <f t="shared" si="6"/>
        <v>2.2000000000000002</v>
      </c>
      <c r="R17" s="11" t="s">
        <v>16</v>
      </c>
      <c r="S17" s="11" t="str">
        <v>Asia</v>
      </c>
      <c r="T17" s="11" t="str">
        <v>sia</v>
      </c>
      <c r="U17" s="11">
        <v>1</v>
      </c>
      <c r="V17" s="11" t="str">
        <v>Asiasia</v>
      </c>
    </row>
    <row r="18" spans="1:26" x14ac:dyDescent="0.25">
      <c r="A18" t="s">
        <v>31</v>
      </c>
      <c r="B18" t="s">
        <v>15</v>
      </c>
      <c r="C18">
        <v>2013</v>
      </c>
      <c r="D18">
        <v>2.2000000000000002</v>
      </c>
      <c r="E18">
        <v>2.7</v>
      </c>
      <c r="F18">
        <v>76.566999999999993</v>
      </c>
      <c r="G18">
        <v>26</v>
      </c>
      <c r="H18">
        <v>81</v>
      </c>
      <c r="I18" s="24">
        <f t="shared" si="0"/>
        <v>76.569999999999993</v>
      </c>
      <c r="J18" s="24">
        <f t="shared" si="1"/>
        <v>1.6431676725154984</v>
      </c>
      <c r="K18" s="24" t="str">
        <f t="shared" si="2"/>
        <v>Fin</v>
      </c>
      <c r="L18" s="24" t="str">
        <f t="shared" si="3"/>
        <v>ion</v>
      </c>
      <c r="M18" s="24" t="e">
        <f t="shared" si="4"/>
        <v>#NUM!</v>
      </c>
      <c r="N18" s="24">
        <f t="shared" si="7"/>
        <v>7</v>
      </c>
      <c r="O18" s="24">
        <f t="shared" si="6"/>
        <v>1.6</v>
      </c>
      <c r="R18" s="11" t="s">
        <v>33</v>
      </c>
      <c r="S18" s="11" t="str">
        <v>abc</v>
      </c>
      <c r="T18" s="11" t="str">
        <v>fri</v>
      </c>
      <c r="U18" s="11">
        <v>1</v>
      </c>
      <c r="V18" s="11" t="str">
        <v>Africafri</v>
      </c>
    </row>
    <row r="19" spans="1:26" x14ac:dyDescent="0.25">
      <c r="A19" t="s">
        <v>32</v>
      </c>
      <c r="B19" t="s">
        <v>33</v>
      </c>
      <c r="C19">
        <v>2007</v>
      </c>
      <c r="D19">
        <v>66.8</v>
      </c>
      <c r="E19">
        <v>91.9</v>
      </c>
      <c r="F19">
        <v>255.88149999999999</v>
      </c>
      <c r="G19">
        <v>23.5</v>
      </c>
      <c r="H19">
        <v>60.7</v>
      </c>
      <c r="I19" s="24">
        <f t="shared" si="0"/>
        <v>255.88</v>
      </c>
      <c r="J19" s="24">
        <f t="shared" si="1"/>
        <v>9.5864487689654929</v>
      </c>
      <c r="K19" s="24" t="str">
        <f t="shared" si="2"/>
        <v>Com</v>
      </c>
      <c r="L19" s="24" t="str">
        <f t="shared" si="3"/>
        <v>ica</v>
      </c>
      <c r="M19" s="24" t="e">
        <f t="shared" si="4"/>
        <v>#NUM!</v>
      </c>
      <c r="N19" s="24">
        <f t="shared" si="7"/>
        <v>7</v>
      </c>
      <c r="O19" s="24">
        <f t="shared" si="6"/>
        <v>9.6</v>
      </c>
      <c r="R19" s="11" t="s">
        <v>33</v>
      </c>
      <c r="S19" s="11" t="str">
        <v>abc</v>
      </c>
      <c r="T19" s="11" t="str">
        <v>fri</v>
      </c>
      <c r="U19" s="11">
        <v>1</v>
      </c>
      <c r="V19" s="11" t="str">
        <v>Africafri</v>
      </c>
    </row>
    <row r="20" spans="1:26" x14ac:dyDescent="0.25">
      <c r="A20" t="s">
        <v>34</v>
      </c>
      <c r="B20" t="s">
        <v>16</v>
      </c>
      <c r="C20">
        <v>2005</v>
      </c>
      <c r="D20">
        <v>2.8</v>
      </c>
      <c r="E20">
        <v>3.7</v>
      </c>
      <c r="F20">
        <v>68.768000000000001</v>
      </c>
      <c r="G20">
        <v>22.6</v>
      </c>
      <c r="H20">
        <v>81.900000000000006</v>
      </c>
      <c r="I20" s="24">
        <f t="shared" si="0"/>
        <v>68.77</v>
      </c>
      <c r="J20" s="24">
        <f t="shared" si="1"/>
        <v>1.9235384061671346</v>
      </c>
      <c r="K20" s="24" t="str">
        <f t="shared" si="2"/>
        <v>Jap</v>
      </c>
      <c r="L20" s="24" t="str">
        <f t="shared" si="3"/>
        <v>sia</v>
      </c>
      <c r="M20" s="24" t="e">
        <f t="shared" si="4"/>
        <v>#NUM!</v>
      </c>
      <c r="N20" s="24">
        <f t="shared" si="7"/>
        <v>5</v>
      </c>
      <c r="O20" s="24">
        <f t="shared" si="6"/>
        <v>1.9</v>
      </c>
      <c r="R20" s="11" t="s">
        <v>16</v>
      </c>
      <c r="S20" s="11" t="str">
        <v>Asia</v>
      </c>
      <c r="T20" s="11" t="str">
        <v>sia</v>
      </c>
      <c r="U20" s="11">
        <v>1</v>
      </c>
      <c r="V20" s="11" t="str">
        <v>Asiasia</v>
      </c>
    </row>
    <row r="21" spans="1:26" x14ac:dyDescent="0.25">
      <c r="A21" t="s">
        <v>35</v>
      </c>
      <c r="B21" t="s">
        <v>33</v>
      </c>
      <c r="C21">
        <v>2012</v>
      </c>
      <c r="D21">
        <v>39.1</v>
      </c>
      <c r="E21">
        <v>57.1</v>
      </c>
      <c r="F21">
        <v>256.88</v>
      </c>
      <c r="G21">
        <v>24.9</v>
      </c>
      <c r="H21">
        <v>62.9</v>
      </c>
      <c r="I21" s="24">
        <f t="shared" si="0"/>
        <v>256.88</v>
      </c>
      <c r="J21" s="24">
        <f t="shared" si="1"/>
        <v>7.556454194925025</v>
      </c>
      <c r="K21" s="24" t="str">
        <f t="shared" si="2"/>
        <v>Gab</v>
      </c>
      <c r="L21" s="24" t="str">
        <f t="shared" si="3"/>
        <v>ica</v>
      </c>
      <c r="M21" s="24" t="e">
        <f t="shared" si="4"/>
        <v>#NUM!</v>
      </c>
      <c r="N21" s="24">
        <f t="shared" si="7"/>
        <v>5</v>
      </c>
      <c r="O21" s="24">
        <f t="shared" si="6"/>
        <v>7.6</v>
      </c>
      <c r="R21" s="11" t="s">
        <v>33</v>
      </c>
      <c r="S21" s="11" t="str">
        <v>abc</v>
      </c>
      <c r="T21" s="11" t="str">
        <v>fri</v>
      </c>
      <c r="U21" s="11">
        <v>1</v>
      </c>
      <c r="V21" s="11" t="str">
        <v>Africafri</v>
      </c>
    </row>
    <row r="22" spans="1:26" x14ac:dyDescent="0.25">
      <c r="A22" t="s">
        <v>36</v>
      </c>
      <c r="B22" t="s">
        <v>33</v>
      </c>
      <c r="C22">
        <v>2011</v>
      </c>
      <c r="D22">
        <v>45.2</v>
      </c>
      <c r="E22">
        <v>65.900000000000006</v>
      </c>
      <c r="F22">
        <v>257.0865</v>
      </c>
      <c r="G22">
        <v>23.7</v>
      </c>
      <c r="H22">
        <v>61.4</v>
      </c>
      <c r="I22" s="24">
        <f t="shared" si="0"/>
        <v>257.08999999999997</v>
      </c>
      <c r="J22" s="24">
        <f t="shared" si="1"/>
        <v>8.1178814970409618</v>
      </c>
      <c r="K22" s="24" t="str">
        <f t="shared" si="2"/>
        <v>Gha</v>
      </c>
      <c r="L22" s="24" t="str">
        <f t="shared" si="3"/>
        <v>ica</v>
      </c>
      <c r="M22" s="24" t="e">
        <f t="shared" si="4"/>
        <v>#NUM!</v>
      </c>
      <c r="N22" s="24">
        <f t="shared" si="7"/>
        <v>5</v>
      </c>
      <c r="O22" s="24">
        <f t="shared" si="6"/>
        <v>8.1</v>
      </c>
      <c r="R22" s="11" t="s">
        <v>33</v>
      </c>
      <c r="S22" s="11" t="str">
        <v>abc</v>
      </c>
      <c r="T22" s="11" t="str">
        <v>fri</v>
      </c>
      <c r="U22" s="11">
        <v>1</v>
      </c>
      <c r="V22" s="11" t="str">
        <v>Africafri</v>
      </c>
    </row>
    <row r="23" spans="1:26" x14ac:dyDescent="0.25">
      <c r="A23" t="s">
        <v>37</v>
      </c>
      <c r="B23" t="s">
        <v>16</v>
      </c>
      <c r="C23">
        <v>2001</v>
      </c>
      <c r="D23">
        <v>28.2</v>
      </c>
      <c r="E23">
        <v>36.9</v>
      </c>
      <c r="F23">
        <v>214.26849999999999</v>
      </c>
      <c r="G23">
        <v>22.3</v>
      </c>
      <c r="H23">
        <v>68.8</v>
      </c>
      <c r="I23" s="24">
        <f t="shared" si="0"/>
        <v>214.27</v>
      </c>
      <c r="J23" s="24">
        <f t="shared" si="1"/>
        <v>6.0745370193949757</v>
      </c>
      <c r="K23" s="24" t="str">
        <f t="shared" si="2"/>
        <v>Phi</v>
      </c>
      <c r="L23" s="24" t="str">
        <f t="shared" si="3"/>
        <v>sia</v>
      </c>
      <c r="M23" s="24" t="e">
        <f t="shared" si="4"/>
        <v>#NUM!</v>
      </c>
      <c r="N23" s="24">
        <f t="shared" si="7"/>
        <v>11</v>
      </c>
      <c r="O23" s="24">
        <f t="shared" si="6"/>
        <v>6.1</v>
      </c>
      <c r="R23" s="11" t="s">
        <v>66</v>
      </c>
      <c r="S23" s="11" t="str">
        <v xml:space="preserve">European </v>
      </c>
      <c r="T23" s="11" t="str">
        <v>uro</v>
      </c>
      <c r="U23" s="11">
        <v>7</v>
      </c>
      <c r="V23" s="11" t="str">
        <v>European uro</v>
      </c>
    </row>
    <row r="24" spans="1:26" x14ac:dyDescent="0.25">
      <c r="A24" t="s">
        <v>38</v>
      </c>
      <c r="B24" t="s">
        <v>33</v>
      </c>
      <c r="C24">
        <v>2003</v>
      </c>
      <c r="D24">
        <v>64.599999999999994</v>
      </c>
      <c r="E24">
        <v>100.2</v>
      </c>
      <c r="F24">
        <v>406.702</v>
      </c>
      <c r="G24">
        <v>22.3</v>
      </c>
      <c r="H24">
        <v>53.8</v>
      </c>
      <c r="I24" s="24">
        <f t="shared" si="0"/>
        <v>406.7</v>
      </c>
      <c r="J24" s="24">
        <f t="shared" si="1"/>
        <v>10.009995004993758</v>
      </c>
      <c r="K24" s="24" t="str">
        <f t="shared" si="2"/>
        <v>Con</v>
      </c>
      <c r="L24" s="24" t="str">
        <f t="shared" si="3"/>
        <v>ica</v>
      </c>
      <c r="M24" s="24" t="e">
        <f t="shared" si="4"/>
        <v>#NUM!</v>
      </c>
      <c r="N24" s="24">
        <f t="shared" si="7"/>
        <v>11</v>
      </c>
      <c r="O24" s="24">
        <f t="shared" si="6"/>
        <v>10</v>
      </c>
      <c r="R24" s="11" t="s">
        <v>16</v>
      </c>
      <c r="S24" s="11" t="str">
        <v>Asia</v>
      </c>
      <c r="T24" s="11" t="str">
        <v>sia</v>
      </c>
      <c r="U24" s="11">
        <v>1</v>
      </c>
      <c r="V24" s="11" t="str">
        <v>Asiasia</v>
      </c>
    </row>
    <row r="25" spans="1:26" x14ac:dyDescent="0.25">
      <c r="A25" t="s">
        <v>39</v>
      </c>
      <c r="B25" t="s">
        <v>33</v>
      </c>
      <c r="C25">
        <v>2011</v>
      </c>
      <c r="D25">
        <v>45.8</v>
      </c>
      <c r="E25">
        <v>67</v>
      </c>
      <c r="F25">
        <v>237.6755</v>
      </c>
      <c r="G25">
        <v>21.1</v>
      </c>
      <c r="H25">
        <v>63.8</v>
      </c>
      <c r="I25" s="24">
        <f t="shared" si="0"/>
        <v>237.68</v>
      </c>
      <c r="J25" s="24">
        <f t="shared" si="1"/>
        <v>8.1853527718724504</v>
      </c>
      <c r="K25" s="24" t="str">
        <f t="shared" si="2"/>
        <v>Mad</v>
      </c>
      <c r="L25" s="24" t="str">
        <f t="shared" si="3"/>
        <v>ica</v>
      </c>
      <c r="M25" s="24" t="e">
        <f t="shared" si="4"/>
        <v>#NUM!</v>
      </c>
      <c r="N25" s="24">
        <f t="shared" si="7"/>
        <v>10</v>
      </c>
      <c r="O25" s="24">
        <f t="shared" si="6"/>
        <v>8.1999999999999993</v>
      </c>
      <c r="R25" s="11" t="s">
        <v>16</v>
      </c>
      <c r="S25" s="11" t="str">
        <v>Asia</v>
      </c>
      <c r="T25" s="11" t="str">
        <v>sia</v>
      </c>
      <c r="U25" s="11">
        <v>1</v>
      </c>
      <c r="V25" s="11" t="str">
        <v>Asiasia</v>
      </c>
    </row>
    <row r="26" spans="1:26" x14ac:dyDescent="0.25">
      <c r="A26" t="s">
        <v>40</v>
      </c>
      <c r="B26" t="s">
        <v>15</v>
      </c>
      <c r="C26">
        <v>2004</v>
      </c>
      <c r="D26">
        <v>6.2</v>
      </c>
      <c r="E26">
        <v>7.8</v>
      </c>
      <c r="F26">
        <v>194.0975</v>
      </c>
      <c r="G26">
        <v>25.8</v>
      </c>
      <c r="H26">
        <v>71.900000000000006</v>
      </c>
      <c r="I26" s="24">
        <f t="shared" si="0"/>
        <v>194.1</v>
      </c>
      <c r="J26" s="24">
        <f t="shared" si="1"/>
        <v>2.7928480087537881</v>
      </c>
      <c r="K26" s="24" t="str">
        <f t="shared" si="2"/>
        <v>Est</v>
      </c>
      <c r="L26" s="24" t="str">
        <f t="shared" si="3"/>
        <v>ion</v>
      </c>
      <c r="M26" s="24" t="e">
        <f t="shared" si="4"/>
        <v>#NUM!</v>
      </c>
      <c r="N26" s="24">
        <f t="shared" si="7"/>
        <v>7</v>
      </c>
      <c r="O26" s="24">
        <f t="shared" si="6"/>
        <v>2.8</v>
      </c>
      <c r="R26" s="11" t="s">
        <v>33</v>
      </c>
      <c r="S26" s="11" t="str">
        <v>abc</v>
      </c>
      <c r="T26" s="11" t="str">
        <v>fri</v>
      </c>
      <c r="U26" s="11">
        <v>1</v>
      </c>
      <c r="V26" s="11" t="str">
        <v>Africafri</v>
      </c>
    </row>
    <row r="27" spans="1:26" x14ac:dyDescent="0.25">
      <c r="A27" t="s">
        <v>41</v>
      </c>
      <c r="B27" t="s">
        <v>20</v>
      </c>
      <c r="C27">
        <v>2013</v>
      </c>
      <c r="D27">
        <v>14.6</v>
      </c>
      <c r="E27">
        <v>16.899999999999999</v>
      </c>
      <c r="F27">
        <v>179.14400000000001</v>
      </c>
      <c r="G27">
        <v>28.7</v>
      </c>
      <c r="H27">
        <v>73.5</v>
      </c>
      <c r="I27" s="24">
        <f t="shared" si="0"/>
        <v>179.14</v>
      </c>
      <c r="J27" s="24">
        <f t="shared" si="1"/>
        <v>4.1109609582188931</v>
      </c>
      <c r="K27" s="24" t="str">
        <f t="shared" si="2"/>
        <v>Bel</v>
      </c>
      <c r="L27" s="24" t="str">
        <f t="shared" si="3"/>
        <v>ean</v>
      </c>
      <c r="M27" s="24" t="e">
        <f t="shared" si="4"/>
        <v>#NUM!</v>
      </c>
      <c r="N27" s="24">
        <f t="shared" si="7"/>
        <v>6</v>
      </c>
      <c r="O27" s="24">
        <f t="shared" si="6"/>
        <v>4.0999999999999996</v>
      </c>
    </row>
    <row r="28" spans="1:26" ht="21" x14ac:dyDescent="0.35">
      <c r="A28" t="s">
        <v>42</v>
      </c>
      <c r="B28" t="s">
        <v>16</v>
      </c>
      <c r="C28">
        <v>2006</v>
      </c>
      <c r="D28">
        <v>25.6</v>
      </c>
      <c r="E28">
        <v>29</v>
      </c>
      <c r="F28">
        <v>270.98849999999999</v>
      </c>
      <c r="G28">
        <v>25.8</v>
      </c>
      <c r="H28">
        <v>66.2</v>
      </c>
      <c r="I28" s="24">
        <f t="shared" si="0"/>
        <v>270.99</v>
      </c>
      <c r="J28" s="24">
        <f t="shared" si="1"/>
        <v>5.3851648071345037</v>
      </c>
      <c r="K28" s="24" t="str">
        <f t="shared" si="2"/>
        <v>Kaz</v>
      </c>
      <c r="L28" s="24" t="str">
        <f t="shared" si="3"/>
        <v>sia</v>
      </c>
      <c r="M28" s="24" t="e">
        <f t="shared" si="4"/>
        <v>#NUM!</v>
      </c>
      <c r="N28" s="24">
        <f t="shared" si="7"/>
        <v>10</v>
      </c>
      <c r="O28" s="24">
        <f t="shared" si="6"/>
        <v>5.4</v>
      </c>
      <c r="Q28" s="50" t="s">
        <v>219</v>
      </c>
      <c r="Z28" s="2"/>
    </row>
    <row r="29" spans="1:26" x14ac:dyDescent="0.25">
      <c r="A29" t="s">
        <v>43</v>
      </c>
      <c r="B29" t="s">
        <v>33</v>
      </c>
      <c r="C29">
        <v>2015</v>
      </c>
      <c r="D29">
        <v>57</v>
      </c>
      <c r="E29">
        <v>88</v>
      </c>
      <c r="F29">
        <v>340.12650000000002</v>
      </c>
      <c r="G29">
        <v>24.3</v>
      </c>
      <c r="H29">
        <v>57.6</v>
      </c>
      <c r="I29" s="24">
        <f t="shared" si="0"/>
        <v>340.13</v>
      </c>
      <c r="J29" s="24">
        <f t="shared" si="1"/>
        <v>9.3808315196468595</v>
      </c>
      <c r="K29" s="24" t="str">
        <f t="shared" si="2"/>
        <v>Cam</v>
      </c>
      <c r="L29" s="24" t="str">
        <f t="shared" si="3"/>
        <v>ica</v>
      </c>
      <c r="M29" s="24" t="e">
        <f t="shared" si="4"/>
        <v>#NUM!</v>
      </c>
      <c r="N29" s="24">
        <f t="shared" si="7"/>
        <v>8</v>
      </c>
      <c r="O29" s="24">
        <f t="shared" si="6"/>
        <v>9.4</v>
      </c>
      <c r="Q29" s="11"/>
      <c r="R29" s="28" t="s">
        <v>70</v>
      </c>
      <c r="S29" s="28" t="s">
        <v>72</v>
      </c>
      <c r="T29" s="28" t="s">
        <v>71</v>
      </c>
      <c r="U29" s="28" t="s">
        <v>73</v>
      </c>
      <c r="V29" s="28" t="s">
        <v>74</v>
      </c>
      <c r="W29" s="28" t="s">
        <v>102</v>
      </c>
    </row>
    <row r="30" spans="1:26" x14ac:dyDescent="0.25">
      <c r="A30" t="s">
        <v>25</v>
      </c>
      <c r="B30" t="s">
        <v>14</v>
      </c>
      <c r="C30">
        <v>2006</v>
      </c>
      <c r="D30">
        <v>19.2</v>
      </c>
      <c r="E30">
        <v>22.5</v>
      </c>
      <c r="F30">
        <v>121.011</v>
      </c>
      <c r="G30">
        <v>28.3</v>
      </c>
      <c r="H30">
        <v>72.8</v>
      </c>
      <c r="I30" s="24">
        <f t="shared" si="0"/>
        <v>121.01</v>
      </c>
      <c r="J30" s="24">
        <f t="shared" si="1"/>
        <v>4.7434164902525691</v>
      </c>
      <c r="K30" s="24" t="str">
        <f t="shared" si="2"/>
        <v>Jor</v>
      </c>
      <c r="L30" s="24" t="str">
        <f t="shared" si="3"/>
        <v>ast</v>
      </c>
      <c r="M30" s="24" t="e">
        <f t="shared" si="4"/>
        <v>#NUM!</v>
      </c>
      <c r="N30" s="24">
        <f t="shared" si="7"/>
        <v>6</v>
      </c>
      <c r="O30" s="24">
        <f t="shared" si="6"/>
        <v>4.7</v>
      </c>
      <c r="Q30" s="11">
        <v>105.824</v>
      </c>
      <c r="R30" s="11">
        <f>PRODUCT(Q30,Q31)</f>
        <v>6127.4741600000007</v>
      </c>
      <c r="S30" s="11">
        <f>MOD(Q30,D13)</f>
        <v>3.8239999999999981</v>
      </c>
      <c r="T30" s="11">
        <f>FACT(S30)</f>
        <v>6</v>
      </c>
      <c r="U30" s="11">
        <f>ROUNDUP(S30,1)</f>
        <v>3.9</v>
      </c>
      <c r="V30" s="11">
        <f>ROUNDDOWN(S30,1)</f>
        <v>3.8</v>
      </c>
      <c r="W30" s="11">
        <f>ROUND(PRODUCT(Q30,Q31),1)</f>
        <v>6127.5</v>
      </c>
    </row>
    <row r="31" spans="1:26" x14ac:dyDescent="0.25">
      <c r="A31" t="s">
        <v>44</v>
      </c>
      <c r="B31" t="s">
        <v>33</v>
      </c>
      <c r="C31">
        <v>2009</v>
      </c>
      <c r="D31">
        <v>54</v>
      </c>
      <c r="E31">
        <v>91.3</v>
      </c>
      <c r="F31">
        <v>551.91150000000005</v>
      </c>
      <c r="G31">
        <v>23.6</v>
      </c>
      <c r="H31">
        <v>48.4</v>
      </c>
      <c r="I31" s="24">
        <f t="shared" si="0"/>
        <v>551.91</v>
      </c>
      <c r="J31" s="24">
        <f t="shared" si="1"/>
        <v>9.5551033484730024</v>
      </c>
      <c r="K31" s="24" t="str">
        <f t="shared" si="2"/>
        <v>Zim</v>
      </c>
      <c r="L31" s="24" t="str">
        <f t="shared" si="3"/>
        <v>ica</v>
      </c>
      <c r="M31" s="24" t="e">
        <f t="shared" si="4"/>
        <v>#NUM!</v>
      </c>
      <c r="N31" s="24">
        <f t="shared" si="7"/>
        <v>8</v>
      </c>
      <c r="O31" s="24">
        <f t="shared" si="6"/>
        <v>9.6</v>
      </c>
      <c r="Q31" s="11">
        <v>57.902500000000003</v>
      </c>
      <c r="R31" s="11">
        <f>PRODUCT(ROUND(Q31,1),ROUND(Q32,1))</f>
        <v>11643.689999999999</v>
      </c>
      <c r="S31" s="11"/>
      <c r="T31" s="11"/>
      <c r="U31" s="11"/>
      <c r="V31" s="11"/>
      <c r="W31" s="11"/>
    </row>
    <row r="32" spans="1:26" x14ac:dyDescent="0.25">
      <c r="A32" t="s">
        <v>45</v>
      </c>
      <c r="B32" t="s">
        <v>16</v>
      </c>
      <c r="C32">
        <v>2005</v>
      </c>
      <c r="D32">
        <v>44.7</v>
      </c>
      <c r="E32">
        <v>57.5</v>
      </c>
      <c r="F32">
        <v>253.2655</v>
      </c>
      <c r="G32">
        <v>22.8</v>
      </c>
      <c r="H32">
        <v>65.3</v>
      </c>
      <c r="I32" s="24">
        <f t="shared" si="0"/>
        <v>253.27</v>
      </c>
      <c r="J32" s="24">
        <f t="shared" si="1"/>
        <v>7.5828754440515507</v>
      </c>
      <c r="K32" s="24" t="str">
        <f t="shared" si="2"/>
        <v>Bhu</v>
      </c>
      <c r="L32" s="24" t="str">
        <f t="shared" si="3"/>
        <v>sia</v>
      </c>
      <c r="M32" s="24" t="e">
        <f t="shared" si="4"/>
        <v>#NUM!</v>
      </c>
      <c r="N32" s="24">
        <f t="shared" si="7"/>
        <v>6</v>
      </c>
      <c r="O32" s="24">
        <f t="shared" si="6"/>
        <v>7.6</v>
      </c>
      <c r="Q32" s="11">
        <v>201.07650000000001</v>
      </c>
      <c r="R32" s="11"/>
      <c r="S32" s="11"/>
      <c r="T32" s="11"/>
      <c r="U32" s="11"/>
      <c r="V32" s="11"/>
      <c r="W32" s="11"/>
    </row>
    <row r="33" spans="1:26" x14ac:dyDescent="0.25">
      <c r="A33" t="s">
        <v>29</v>
      </c>
      <c r="B33" t="s">
        <v>22</v>
      </c>
      <c r="C33">
        <v>2010</v>
      </c>
      <c r="D33">
        <v>3.9</v>
      </c>
      <c r="E33">
        <v>4.5999999999999996</v>
      </c>
      <c r="F33">
        <v>56.910499999999999</v>
      </c>
      <c r="G33">
        <v>25.1</v>
      </c>
      <c r="H33">
        <v>82.2</v>
      </c>
      <c r="I33" s="24">
        <f t="shared" si="0"/>
        <v>56.91</v>
      </c>
      <c r="J33" s="24">
        <f t="shared" si="1"/>
        <v>2.1447610589527217</v>
      </c>
      <c r="K33" s="24" t="str">
        <f t="shared" si="2"/>
        <v>Swi</v>
      </c>
      <c r="L33" s="24" t="str">
        <f t="shared" si="3"/>
        <v>ope</v>
      </c>
      <c r="M33" s="24" t="e">
        <f t="shared" si="4"/>
        <v>#NUM!</v>
      </c>
      <c r="N33" s="24">
        <f t="shared" si="7"/>
        <v>11</v>
      </c>
      <c r="O33" s="24">
        <f t="shared" si="6"/>
        <v>2.1</v>
      </c>
    </row>
    <row r="34" spans="1:26" x14ac:dyDescent="0.25">
      <c r="A34" t="s">
        <v>46</v>
      </c>
      <c r="B34" t="s">
        <v>33</v>
      </c>
      <c r="C34">
        <v>2006</v>
      </c>
      <c r="D34">
        <v>48.7</v>
      </c>
      <c r="E34">
        <v>79.2</v>
      </c>
      <c r="F34">
        <v>515.71799999999996</v>
      </c>
      <c r="G34">
        <v>26.6</v>
      </c>
      <c r="H34">
        <v>53.8</v>
      </c>
      <c r="I34" s="24">
        <f t="shared" ref="I34:I40" si="8">ROUND(F34,2)</f>
        <v>515.72</v>
      </c>
      <c r="J34" s="24">
        <f t="shared" ref="J34:J40" si="9">SQRT(E34)</f>
        <v>8.8994381845147963</v>
      </c>
      <c r="K34" s="24" t="str">
        <f t="shared" ref="K34:K40" si="10">LEFT(A34,3)</f>
        <v>Sou</v>
      </c>
      <c r="L34" s="24" t="str">
        <f t="shared" ref="L34:L40" si="11">RIGHT(B34,3)</f>
        <v>ica</v>
      </c>
      <c r="M34" s="24" t="e">
        <f t="shared" ref="M34:M40" si="12">RANK(G34,G:G,1)</f>
        <v>#NUM!</v>
      </c>
      <c r="N34" s="24">
        <f t="shared" si="7"/>
        <v>12</v>
      </c>
      <c r="O34" s="24">
        <f t="shared" si="6"/>
        <v>8.9</v>
      </c>
    </row>
    <row r="35" spans="1:26" ht="15.75" x14ac:dyDescent="0.25">
      <c r="A35" t="s">
        <v>25</v>
      </c>
      <c r="B35" t="s">
        <v>14</v>
      </c>
      <c r="C35">
        <v>2012</v>
      </c>
      <c r="D35">
        <v>16.2</v>
      </c>
      <c r="E35">
        <v>19</v>
      </c>
      <c r="F35">
        <v>113.2855</v>
      </c>
      <c r="G35">
        <v>28.7</v>
      </c>
      <c r="H35">
        <v>73.7</v>
      </c>
      <c r="I35" s="24">
        <f t="shared" si="8"/>
        <v>113.29</v>
      </c>
      <c r="J35" s="24">
        <f t="shared" si="9"/>
        <v>4.358898943540674</v>
      </c>
      <c r="K35" s="24" t="str">
        <f t="shared" si="10"/>
        <v>Jor</v>
      </c>
      <c r="L35" s="24" t="str">
        <f t="shared" si="11"/>
        <v>ast</v>
      </c>
      <c r="M35" s="24" t="e">
        <f t="shared" si="12"/>
        <v>#NUM!</v>
      </c>
      <c r="N35" s="24">
        <f t="shared" si="7"/>
        <v>6</v>
      </c>
      <c r="O35" s="24">
        <f t="shared" ref="O35:O40" si="13">ROUND(SQRT(E35),1)</f>
        <v>4.4000000000000004</v>
      </c>
      <c r="R35" s="29" t="s">
        <v>76</v>
      </c>
      <c r="S35" s="30" t="s">
        <v>77</v>
      </c>
      <c r="T35" s="30" t="s">
        <v>78</v>
      </c>
      <c r="U35" s="30" t="s">
        <v>1</v>
      </c>
      <c r="V35" s="31" t="s">
        <v>79</v>
      </c>
      <c r="X35" s="11"/>
      <c r="Y35" s="41" t="s">
        <v>103</v>
      </c>
      <c r="Z35" s="11"/>
    </row>
    <row r="36" spans="1:26" x14ac:dyDescent="0.25">
      <c r="A36" t="s">
        <v>47</v>
      </c>
      <c r="B36" t="s">
        <v>33</v>
      </c>
      <c r="C36">
        <v>2012</v>
      </c>
      <c r="D36">
        <v>36.799999999999997</v>
      </c>
      <c r="E36">
        <v>51.2</v>
      </c>
      <c r="F36">
        <v>274.029</v>
      </c>
      <c r="G36">
        <v>20.6</v>
      </c>
      <c r="H36">
        <v>63.2</v>
      </c>
      <c r="I36" s="24">
        <f t="shared" si="8"/>
        <v>274.02999999999997</v>
      </c>
      <c r="J36" s="24">
        <f t="shared" si="9"/>
        <v>7.1554175279993268</v>
      </c>
      <c r="K36" s="24" t="str">
        <f t="shared" si="10"/>
        <v>Eri</v>
      </c>
      <c r="L36" s="24" t="str">
        <f t="shared" si="11"/>
        <v>ica</v>
      </c>
      <c r="M36" s="24" t="e">
        <f t="shared" si="12"/>
        <v>#NUM!</v>
      </c>
      <c r="N36" s="24">
        <f t="shared" si="7"/>
        <v>7</v>
      </c>
      <c r="O36" s="24">
        <f t="shared" si="13"/>
        <v>7.2</v>
      </c>
      <c r="R36" s="32">
        <v>46023</v>
      </c>
      <c r="S36" s="33" t="s">
        <v>80</v>
      </c>
      <c r="T36" s="33" t="s">
        <v>81</v>
      </c>
      <c r="U36" s="33" t="s">
        <v>82</v>
      </c>
      <c r="V36" s="34">
        <v>45000</v>
      </c>
      <c r="X36" s="42" t="s">
        <v>75</v>
      </c>
      <c r="Y36" s="11" t="s">
        <v>92</v>
      </c>
      <c r="Z36" s="11">
        <f>SUMIF(T36:T45,"Red",V36:V45)</f>
        <v>43000</v>
      </c>
    </row>
    <row r="37" spans="1:26" x14ac:dyDescent="0.25">
      <c r="A37" t="s">
        <v>48</v>
      </c>
      <c r="B37" t="s">
        <v>15</v>
      </c>
      <c r="C37">
        <v>2010</v>
      </c>
      <c r="D37">
        <v>3.5</v>
      </c>
      <c r="E37">
        <v>4.2</v>
      </c>
      <c r="F37">
        <v>77.603999999999999</v>
      </c>
      <c r="G37">
        <v>26.3</v>
      </c>
      <c r="H37">
        <v>80</v>
      </c>
      <c r="I37" s="24">
        <f t="shared" si="8"/>
        <v>77.599999999999994</v>
      </c>
      <c r="J37" s="24">
        <f t="shared" si="9"/>
        <v>2.0493901531919199</v>
      </c>
      <c r="K37" s="24" t="str">
        <f t="shared" si="10"/>
        <v>Ger</v>
      </c>
      <c r="L37" s="24" t="str">
        <f t="shared" si="11"/>
        <v>ion</v>
      </c>
      <c r="M37" s="24" t="e">
        <f t="shared" si="12"/>
        <v>#NUM!</v>
      </c>
      <c r="N37" s="24">
        <f t="shared" si="7"/>
        <v>7</v>
      </c>
      <c r="O37" s="24">
        <f t="shared" si="13"/>
        <v>2</v>
      </c>
      <c r="R37" s="32">
        <v>46024</v>
      </c>
      <c r="S37" s="33" t="s">
        <v>83</v>
      </c>
      <c r="T37" s="33" t="s">
        <v>84</v>
      </c>
      <c r="U37" s="33" t="s">
        <v>85</v>
      </c>
      <c r="V37" s="35">
        <v>25000</v>
      </c>
      <c r="X37" s="42" t="s">
        <v>95</v>
      </c>
      <c r="Y37" s="11" t="s">
        <v>93</v>
      </c>
      <c r="Z37" s="11">
        <f>SUMIFS(V36:V45,T36:T45,"Black",U36:U45,"South")</f>
        <v>71000</v>
      </c>
    </row>
    <row r="38" spans="1:26" x14ac:dyDescent="0.25">
      <c r="A38" t="s">
        <v>49</v>
      </c>
      <c r="B38" t="s">
        <v>14</v>
      </c>
      <c r="C38">
        <v>2014</v>
      </c>
      <c r="D38">
        <v>8.3000000000000007</v>
      </c>
      <c r="E38">
        <v>9.6</v>
      </c>
      <c r="F38">
        <v>89.12</v>
      </c>
      <c r="G38">
        <v>28.3</v>
      </c>
      <c r="H38">
        <v>74.5</v>
      </c>
      <c r="I38" s="24">
        <f t="shared" si="8"/>
        <v>89.12</v>
      </c>
      <c r="J38" s="24">
        <f t="shared" si="9"/>
        <v>3.0983866769659336</v>
      </c>
      <c r="K38" s="24" t="str">
        <f t="shared" si="10"/>
        <v>Sau</v>
      </c>
      <c r="L38" s="24" t="str">
        <f t="shared" si="11"/>
        <v>ast</v>
      </c>
      <c r="M38" s="24" t="e">
        <f t="shared" si="12"/>
        <v>#NUM!</v>
      </c>
      <c r="N38" s="24">
        <f t="shared" si="7"/>
        <v>12</v>
      </c>
      <c r="O38" s="24">
        <f t="shared" si="13"/>
        <v>3.1</v>
      </c>
      <c r="R38" s="32">
        <v>46025</v>
      </c>
      <c r="S38" s="33" t="s">
        <v>80</v>
      </c>
      <c r="T38" s="33" t="s">
        <v>81</v>
      </c>
      <c r="U38" s="33" t="s">
        <v>88</v>
      </c>
      <c r="V38" s="34">
        <v>40000</v>
      </c>
      <c r="X38" s="42" t="s">
        <v>95</v>
      </c>
      <c r="Y38" s="11" t="s">
        <v>94</v>
      </c>
      <c r="Z38" s="11">
        <f>SUMIFS(V36:V45,S36:S45,"Laptop",T36:T45,"Black",U36:U45,"South")</f>
        <v>45000</v>
      </c>
    </row>
    <row r="39" spans="1:26" x14ac:dyDescent="0.25">
      <c r="A39" t="s">
        <v>50</v>
      </c>
      <c r="B39" t="s">
        <v>51</v>
      </c>
      <c r="C39">
        <v>2004</v>
      </c>
      <c r="D39">
        <v>49.4</v>
      </c>
      <c r="E39">
        <v>64.599999999999994</v>
      </c>
      <c r="F39">
        <v>214.77449999999999</v>
      </c>
      <c r="G39">
        <v>29.1</v>
      </c>
      <c r="H39">
        <v>64.2</v>
      </c>
      <c r="I39" s="24">
        <f t="shared" si="8"/>
        <v>214.77</v>
      </c>
      <c r="J39" s="24">
        <f t="shared" si="9"/>
        <v>8.0374125189640466</v>
      </c>
      <c r="K39" s="24" t="str">
        <f t="shared" si="10"/>
        <v>Kir</v>
      </c>
      <c r="L39" s="24" t="str">
        <f t="shared" si="11"/>
        <v>nia</v>
      </c>
      <c r="M39" s="24" t="e">
        <f t="shared" si="12"/>
        <v>#NUM!</v>
      </c>
      <c r="N39" s="24">
        <f t="shared" si="7"/>
        <v>8</v>
      </c>
      <c r="O39" s="24">
        <f t="shared" si="13"/>
        <v>8</v>
      </c>
      <c r="R39" s="32">
        <v>46026</v>
      </c>
      <c r="S39" s="33" t="s">
        <v>86</v>
      </c>
      <c r="T39" s="33" t="s">
        <v>87</v>
      </c>
      <c r="U39" s="33" t="s">
        <v>82</v>
      </c>
      <c r="V39" s="36">
        <v>18000</v>
      </c>
    </row>
    <row r="40" spans="1:26" x14ac:dyDescent="0.25">
      <c r="A40" t="s">
        <v>52</v>
      </c>
      <c r="B40" t="s">
        <v>33</v>
      </c>
      <c r="C40">
        <v>2011</v>
      </c>
      <c r="D40">
        <v>12.2</v>
      </c>
      <c r="E40">
        <v>14.2</v>
      </c>
      <c r="F40">
        <v>154.45050000000001</v>
      </c>
      <c r="G40">
        <v>26.3</v>
      </c>
      <c r="H40">
        <v>72.7</v>
      </c>
      <c r="I40" s="24">
        <f t="shared" si="8"/>
        <v>154.44999999999999</v>
      </c>
      <c r="J40" s="24">
        <f t="shared" si="9"/>
        <v>3.7682887362833544</v>
      </c>
      <c r="K40" s="24" t="str">
        <f t="shared" si="10"/>
        <v>Sey</v>
      </c>
      <c r="L40" s="24" t="str">
        <f t="shared" si="11"/>
        <v>ica</v>
      </c>
      <c r="M40" s="24" t="e">
        <f t="shared" si="12"/>
        <v>#NUM!</v>
      </c>
      <c r="N40" s="24">
        <f t="shared" si="7"/>
        <v>10</v>
      </c>
      <c r="O40" s="24">
        <f t="shared" si="13"/>
        <v>3.8</v>
      </c>
      <c r="R40" s="32">
        <v>46027</v>
      </c>
      <c r="S40" s="33" t="s">
        <v>83</v>
      </c>
      <c r="T40" s="33" t="s">
        <v>84</v>
      </c>
      <c r="U40" s="33" t="s">
        <v>85</v>
      </c>
      <c r="V40" s="35">
        <v>27000</v>
      </c>
    </row>
    <row r="41" spans="1:26" ht="15.75" x14ac:dyDescent="0.25">
      <c r="R41" s="32">
        <v>46028</v>
      </c>
      <c r="S41" s="33" t="s">
        <v>80</v>
      </c>
      <c r="T41" s="33" t="s">
        <v>84</v>
      </c>
      <c r="U41" s="33" t="s">
        <v>85</v>
      </c>
      <c r="V41" s="35">
        <v>42000</v>
      </c>
      <c r="X41" s="11"/>
      <c r="Y41" s="41" t="s">
        <v>96</v>
      </c>
      <c r="Z41" s="11">
        <f>AVERAGE(V36:V45)</f>
        <v>30500</v>
      </c>
    </row>
    <row r="42" spans="1:26" x14ac:dyDescent="0.25">
      <c r="R42" s="32">
        <v>46029</v>
      </c>
      <c r="S42" s="33" t="s">
        <v>86</v>
      </c>
      <c r="T42" s="33" t="s">
        <v>87</v>
      </c>
      <c r="U42" s="33" t="s">
        <v>88</v>
      </c>
      <c r="V42" s="36">
        <v>19000</v>
      </c>
      <c r="X42" s="42" t="s">
        <v>97</v>
      </c>
      <c r="Y42" s="11" t="s">
        <v>98</v>
      </c>
      <c r="Z42" s="11">
        <f>AVERAGEIF(T36:T45,"Blue",V36:V45)</f>
        <v>28500</v>
      </c>
    </row>
    <row r="43" spans="1:26" x14ac:dyDescent="0.25">
      <c r="R43" s="32">
        <v>46030</v>
      </c>
      <c r="S43" s="33" t="s">
        <v>83</v>
      </c>
      <c r="T43" s="33" t="s">
        <v>81</v>
      </c>
      <c r="U43" s="33" t="s">
        <v>82</v>
      </c>
      <c r="V43" s="34">
        <v>26000</v>
      </c>
      <c r="X43" s="42" t="s">
        <v>99</v>
      </c>
      <c r="Y43" s="11" t="s">
        <v>100</v>
      </c>
      <c r="Z43" s="11">
        <f>AVERAGEIFS(V36:V45,T36:T45,"White",U36:U45,"East")</f>
        <v>19000</v>
      </c>
    </row>
    <row r="44" spans="1:26" x14ac:dyDescent="0.25">
      <c r="R44" s="32">
        <v>46031</v>
      </c>
      <c r="S44" s="33" t="s">
        <v>80</v>
      </c>
      <c r="T44" s="33" t="s">
        <v>89</v>
      </c>
      <c r="U44" s="33" t="s">
        <v>90</v>
      </c>
      <c r="V44" s="37">
        <v>43000</v>
      </c>
      <c r="X44" s="42" t="s">
        <v>99</v>
      </c>
      <c r="Y44" s="11" t="s">
        <v>101</v>
      </c>
      <c r="Z44" s="11">
        <f>AVERAGEIFS(V36:V45,T36:T45,"Blue",S36:S45,"Mobile",U36:U45,"North")</f>
        <v>26000</v>
      </c>
    </row>
    <row r="45" spans="1:26" x14ac:dyDescent="0.25">
      <c r="R45" s="38">
        <v>46032</v>
      </c>
      <c r="S45" s="39" t="s">
        <v>86</v>
      </c>
      <c r="T45" s="39" t="s">
        <v>84</v>
      </c>
      <c r="U45" s="39" t="s">
        <v>85</v>
      </c>
      <c r="V45" s="40">
        <v>20000</v>
      </c>
    </row>
    <row r="46" spans="1:26" x14ac:dyDescent="0.25">
      <c r="V46" s="3" t="s">
        <v>91</v>
      </c>
      <c r="W46">
        <f>SUM(V36:V45)</f>
        <v>305000</v>
      </c>
    </row>
    <row r="47" spans="1:26" ht="21" x14ac:dyDescent="0.35">
      <c r="E47" s="50" t="s">
        <v>138</v>
      </c>
    </row>
    <row r="49" spans="2:28" ht="15.75" x14ac:dyDescent="0.25">
      <c r="B49" s="1" t="s">
        <v>143</v>
      </c>
      <c r="C49" s="1" t="s">
        <v>0</v>
      </c>
      <c r="D49" s="1" t="s">
        <v>1</v>
      </c>
      <c r="E49" s="1" t="s">
        <v>2</v>
      </c>
      <c r="F49" s="51" t="s">
        <v>139</v>
      </c>
      <c r="G49" s="51" t="s">
        <v>140</v>
      </c>
      <c r="H49" s="51" t="s">
        <v>141</v>
      </c>
      <c r="I49" s="51" t="s">
        <v>144</v>
      </c>
      <c r="J49" s="51" t="s">
        <v>145</v>
      </c>
      <c r="K49" s="51" t="s">
        <v>146</v>
      </c>
      <c r="L49" s="51" t="s">
        <v>147</v>
      </c>
      <c r="M49" s="51" t="s">
        <v>148</v>
      </c>
    </row>
    <row r="50" spans="2:28" x14ac:dyDescent="0.25">
      <c r="B50">
        <v>1</v>
      </c>
      <c r="C50" t="s">
        <v>33</v>
      </c>
      <c r="D50" t="s">
        <v>14</v>
      </c>
      <c r="E50">
        <v>2015</v>
      </c>
      <c r="F50" s="11">
        <f>COUNT(E49:E104)</f>
        <v>35</v>
      </c>
      <c r="G50" s="11">
        <f>COUNTA(E49:E104)</f>
        <v>40</v>
      </c>
      <c r="H50" s="11">
        <f>COUNTBLANK(E50:E104)</f>
        <v>16</v>
      </c>
      <c r="I50" s="11">
        <f>AVERAGE(E50:E59)</f>
        <v>2008.5</v>
      </c>
      <c r="J50" s="11">
        <f>MEDIAN(E50:E104)</f>
        <v>45293</v>
      </c>
      <c r="K50" s="11">
        <f>MODE(E50:E104)</f>
        <v>2015</v>
      </c>
      <c r="L50" s="11">
        <f>CORREL(B50:B104,E50:E104)</f>
        <v>-0.40545499636454502</v>
      </c>
      <c r="M50" s="11">
        <f>_xlfn.STDEV.S(E50:E104)</f>
        <v>21749.170166995827</v>
      </c>
    </row>
    <row r="51" spans="2:28" ht="21" x14ac:dyDescent="0.35">
      <c r="B51">
        <v>2</v>
      </c>
      <c r="C51" t="s">
        <v>16</v>
      </c>
      <c r="D51" t="s">
        <v>15</v>
      </c>
      <c r="E51">
        <v>2015</v>
      </c>
      <c r="Q51" s="50" t="s">
        <v>137</v>
      </c>
      <c r="AB51" t="s">
        <v>122</v>
      </c>
    </row>
    <row r="52" spans="2:28" x14ac:dyDescent="0.25">
      <c r="B52">
        <v>3</v>
      </c>
      <c r="C52" t="s">
        <v>33</v>
      </c>
      <c r="D52" t="s">
        <v>16</v>
      </c>
      <c r="E52">
        <v>2007</v>
      </c>
    </row>
    <row r="53" spans="2:28" ht="15.75" x14ac:dyDescent="0.25">
      <c r="B53">
        <v>4</v>
      </c>
      <c r="C53" t="s">
        <v>33</v>
      </c>
      <c r="D53" t="s">
        <v>17</v>
      </c>
      <c r="E53">
        <v>2006</v>
      </c>
      <c r="R53" t="s">
        <v>80</v>
      </c>
      <c r="S53">
        <f>VLOOKUP(S41,S36:V45,4,0)</f>
        <v>45000</v>
      </c>
      <c r="U53" s="7" t="s">
        <v>107</v>
      </c>
      <c r="X53" s="7" t="s">
        <v>109</v>
      </c>
      <c r="Z53" s="7" t="s">
        <v>121</v>
      </c>
    </row>
    <row r="54" spans="2:28" x14ac:dyDescent="0.25">
      <c r="B54">
        <v>5</v>
      </c>
      <c r="C54" t="s">
        <v>16</v>
      </c>
      <c r="D54" t="s">
        <v>14</v>
      </c>
      <c r="E54">
        <v>2012</v>
      </c>
      <c r="Q54" s="8" t="s">
        <v>104</v>
      </c>
      <c r="R54" t="s">
        <v>86</v>
      </c>
      <c r="S54" t="str">
        <f>VLOOKUP(S42,S36:V45,2,0)</f>
        <v>White</v>
      </c>
      <c r="U54" t="s">
        <v>106</v>
      </c>
      <c r="V54">
        <f>MATCH(S61,S61:AB61,)</f>
        <v>1</v>
      </c>
      <c r="X54">
        <f>INDEX(S63:AB63,7)</f>
        <v>19000</v>
      </c>
      <c r="Z54">
        <f>_xlfn.XLOOKUP(S60,S60:AB60,S63:AB63)</f>
        <v>45000</v>
      </c>
    </row>
    <row r="55" spans="2:28" ht="15.75" x14ac:dyDescent="0.25">
      <c r="B55">
        <v>6</v>
      </c>
      <c r="C55" t="s">
        <v>33</v>
      </c>
      <c r="D55" t="s">
        <v>20</v>
      </c>
      <c r="E55">
        <v>2006</v>
      </c>
      <c r="G55" s="52" t="s">
        <v>149</v>
      </c>
      <c r="H55" s="51" t="s">
        <v>142</v>
      </c>
      <c r="R55" t="s">
        <v>83</v>
      </c>
      <c r="S55">
        <f>VLOOKUP(S43,S36:V45,4,0)</f>
        <v>25000</v>
      </c>
      <c r="U55" t="s">
        <v>108</v>
      </c>
      <c r="V55">
        <f>MATCH(U55,S60:AB60,0)</f>
        <v>1</v>
      </c>
      <c r="X55" t="str">
        <f>INDEX(S60:AB60,3)</f>
        <v>Laptop</v>
      </c>
      <c r="Z55">
        <f>_xlfn.XLOOKUP(T60,S60:AB60,S63:AB63)</f>
        <v>25000</v>
      </c>
    </row>
    <row r="56" spans="2:28" x14ac:dyDescent="0.25">
      <c r="B56">
        <v>7</v>
      </c>
      <c r="C56" t="s">
        <v>33</v>
      </c>
      <c r="D56" t="s">
        <v>22</v>
      </c>
      <c r="E56">
        <v>2015</v>
      </c>
      <c r="G56" t="s">
        <v>150</v>
      </c>
      <c r="H56" s="11">
        <f>COUNTIF(C50:C104,"Asia")</f>
        <v>4</v>
      </c>
      <c r="U56" t="s">
        <v>110</v>
      </c>
      <c r="V56">
        <f>MATCH(U56,S61:AB61,0)</f>
        <v>4</v>
      </c>
    </row>
    <row r="57" spans="2:28" x14ac:dyDescent="0.25">
      <c r="B57">
        <v>8</v>
      </c>
      <c r="C57" t="s">
        <v>66</v>
      </c>
      <c r="D57" t="s">
        <v>15</v>
      </c>
      <c r="E57">
        <v>2000</v>
      </c>
      <c r="G57">
        <v>2007</v>
      </c>
      <c r="H57">
        <f>COUNTIFS(E50:E79,E52)</f>
        <v>2</v>
      </c>
    </row>
    <row r="58" spans="2:28" ht="15.75" x14ac:dyDescent="0.25">
      <c r="B58">
        <v>9</v>
      </c>
      <c r="C58" t="s">
        <v>16</v>
      </c>
      <c r="D58" t="s">
        <v>14</v>
      </c>
      <c r="E58">
        <v>2001</v>
      </c>
      <c r="G58" t="s">
        <v>151</v>
      </c>
      <c r="H58">
        <f>COUNTIFS(D50:D64,D51)</f>
        <v>3</v>
      </c>
      <c r="I58" s="1"/>
      <c r="Q58" s="8" t="s">
        <v>105</v>
      </c>
    </row>
    <row r="59" spans="2:28" x14ac:dyDescent="0.25">
      <c r="B59">
        <v>10</v>
      </c>
      <c r="C59" t="s">
        <v>16</v>
      </c>
      <c r="D59" t="s">
        <v>22</v>
      </c>
      <c r="E59">
        <v>2008</v>
      </c>
      <c r="R59" s="43" t="s">
        <v>76</v>
      </c>
      <c r="S59" s="44" t="s">
        <v>111</v>
      </c>
      <c r="T59" s="44" t="s">
        <v>112</v>
      </c>
      <c r="U59" s="44" t="s">
        <v>113</v>
      </c>
      <c r="V59" s="44" t="s">
        <v>114</v>
      </c>
      <c r="W59" s="44" t="s">
        <v>115</v>
      </c>
      <c r="X59" s="44" t="s">
        <v>116</v>
      </c>
      <c r="Y59" s="44" t="s">
        <v>117</v>
      </c>
      <c r="Z59" s="44" t="s">
        <v>118</v>
      </c>
      <c r="AA59" s="44" t="s">
        <v>119</v>
      </c>
      <c r="AB59" s="22" t="s">
        <v>120</v>
      </c>
    </row>
    <row r="60" spans="2:28" x14ac:dyDescent="0.25">
      <c r="B60">
        <v>11</v>
      </c>
      <c r="C60" t="s">
        <v>33</v>
      </c>
      <c r="D60" t="s">
        <v>17</v>
      </c>
      <c r="E60">
        <v>2012</v>
      </c>
      <c r="R60" s="45" t="s">
        <v>77</v>
      </c>
      <c r="S60" s="33" t="s">
        <v>80</v>
      </c>
      <c r="T60" s="33" t="s">
        <v>83</v>
      </c>
      <c r="U60" s="33" t="s">
        <v>80</v>
      </c>
      <c r="V60" s="33" t="s">
        <v>86</v>
      </c>
      <c r="W60" s="33" t="s">
        <v>83</v>
      </c>
      <c r="X60" s="33" t="s">
        <v>80</v>
      </c>
      <c r="Y60" s="33" t="s">
        <v>86</v>
      </c>
      <c r="Z60" s="33" t="s">
        <v>83</v>
      </c>
      <c r="AA60" s="33" t="s">
        <v>80</v>
      </c>
      <c r="AB60" s="36" t="s">
        <v>86</v>
      </c>
    </row>
    <row r="61" spans="2:28" x14ac:dyDescent="0.25">
      <c r="B61">
        <v>12</v>
      </c>
      <c r="C61" t="s">
        <v>26</v>
      </c>
      <c r="D61" t="s">
        <v>15</v>
      </c>
      <c r="E61">
        <v>2007</v>
      </c>
      <c r="R61" s="45" t="s">
        <v>78</v>
      </c>
      <c r="S61" s="33" t="s">
        <v>81</v>
      </c>
      <c r="T61" s="33" t="s">
        <v>84</v>
      </c>
      <c r="U61" s="33" t="s">
        <v>81</v>
      </c>
      <c r="V61" s="33" t="s">
        <v>87</v>
      </c>
      <c r="W61" s="33" t="s">
        <v>84</v>
      </c>
      <c r="X61" s="33" t="s">
        <v>84</v>
      </c>
      <c r="Y61" s="33" t="s">
        <v>87</v>
      </c>
      <c r="Z61" s="33" t="s">
        <v>81</v>
      </c>
      <c r="AA61" s="33" t="s">
        <v>89</v>
      </c>
      <c r="AB61" s="36" t="s">
        <v>84</v>
      </c>
    </row>
    <row r="62" spans="2:28" x14ac:dyDescent="0.25">
      <c r="B62">
        <v>13</v>
      </c>
      <c r="C62" t="s">
        <v>27</v>
      </c>
      <c r="D62" t="s">
        <v>20</v>
      </c>
      <c r="E62">
        <v>2011</v>
      </c>
      <c r="R62" s="45" t="s">
        <v>1</v>
      </c>
      <c r="S62" s="33" t="s">
        <v>82</v>
      </c>
      <c r="T62" s="33" t="s">
        <v>85</v>
      </c>
      <c r="U62" s="33" t="s">
        <v>88</v>
      </c>
      <c r="V62" s="33" t="s">
        <v>82</v>
      </c>
      <c r="W62" s="33" t="s">
        <v>85</v>
      </c>
      <c r="X62" s="33" t="s">
        <v>85</v>
      </c>
      <c r="Y62" s="33" t="s">
        <v>88</v>
      </c>
      <c r="Z62" s="33" t="s">
        <v>82</v>
      </c>
      <c r="AA62" s="33" t="s">
        <v>90</v>
      </c>
      <c r="AB62" s="36" t="s">
        <v>85</v>
      </c>
    </row>
    <row r="63" spans="2:28" x14ac:dyDescent="0.25">
      <c r="B63">
        <v>14</v>
      </c>
      <c r="C63" t="s">
        <v>28</v>
      </c>
      <c r="D63" t="s">
        <v>22</v>
      </c>
      <c r="E63">
        <v>2002</v>
      </c>
      <c r="R63" s="46" t="s">
        <v>79</v>
      </c>
      <c r="S63" s="47">
        <v>45000</v>
      </c>
      <c r="T63" s="48">
        <v>25000</v>
      </c>
      <c r="U63" s="47">
        <v>40000</v>
      </c>
      <c r="V63" s="39">
        <v>18000</v>
      </c>
      <c r="W63" s="48">
        <v>27000</v>
      </c>
      <c r="X63" s="48">
        <v>42000</v>
      </c>
      <c r="Y63" s="39">
        <v>19000</v>
      </c>
      <c r="Z63" s="47">
        <v>26000</v>
      </c>
      <c r="AA63" s="49">
        <v>43000</v>
      </c>
      <c r="AB63" s="40">
        <v>20000</v>
      </c>
    </row>
    <row r="64" spans="2:28" x14ac:dyDescent="0.25">
      <c r="B64">
        <v>15</v>
      </c>
      <c r="C64" t="s">
        <v>29</v>
      </c>
      <c r="D64" t="s">
        <v>22</v>
      </c>
      <c r="E64">
        <v>2006</v>
      </c>
    </row>
    <row r="65" spans="2:29" x14ac:dyDescent="0.25">
      <c r="Q65" t="s">
        <v>80</v>
      </c>
      <c r="R65" s="6">
        <f>HLOOKUP(S60,S60:AB63,4,0)</f>
        <v>45000</v>
      </c>
    </row>
    <row r="66" spans="2:29" x14ac:dyDescent="0.25">
      <c r="Q66" t="s">
        <v>106</v>
      </c>
      <c r="R66">
        <f>HLOOKUP(T60,S60:AB63,4,0)</f>
        <v>25000</v>
      </c>
    </row>
    <row r="68" spans="2:29" ht="21" x14ac:dyDescent="0.35">
      <c r="Q68" s="50" t="s">
        <v>135</v>
      </c>
      <c r="V68" s="50" t="s">
        <v>136</v>
      </c>
    </row>
    <row r="69" spans="2:29" ht="23.25" x14ac:dyDescent="0.35">
      <c r="E69" s="59" t="s">
        <v>152</v>
      </c>
    </row>
    <row r="70" spans="2:29" x14ac:dyDescent="0.25">
      <c r="Q70" s="19" t="s">
        <v>123</v>
      </c>
      <c r="R70" s="20" t="s">
        <v>124</v>
      </c>
      <c r="S70" s="20" t="s">
        <v>125</v>
      </c>
      <c r="T70" s="21" t="s">
        <v>134</v>
      </c>
      <c r="V70" s="16" t="s">
        <v>126</v>
      </c>
      <c r="W70" s="17" t="s">
        <v>127</v>
      </c>
      <c r="X70" s="17" t="s">
        <v>128</v>
      </c>
      <c r="Y70" s="17" t="s">
        <v>129</v>
      </c>
      <c r="Z70" s="17" t="s">
        <v>130</v>
      </c>
      <c r="AA70" s="17" t="s">
        <v>131</v>
      </c>
      <c r="AB70" s="17" t="s">
        <v>132</v>
      </c>
      <c r="AC70" s="18" t="s">
        <v>133</v>
      </c>
    </row>
    <row r="71" spans="2:29" ht="53.25" customHeight="1" x14ac:dyDescent="0.25">
      <c r="D71" s="56" t="s">
        <v>153</v>
      </c>
      <c r="E71" s="56" t="s">
        <v>154</v>
      </c>
      <c r="F71" s="56" t="s">
        <v>155</v>
      </c>
      <c r="Q71" s="10">
        <v>20</v>
      </c>
      <c r="R71" s="11" t="str">
        <f>IF(Table3[[#This Row],[AGE]]&gt;=18,"vote")</f>
        <v>vote</v>
      </c>
      <c r="S71" s="11" t="str">
        <f>IF(Table3[[#This Row],[AGE]]&lt;10,"under10",IF(Table3[[#This Row],[AGE]]&gt;15,"above 15","10-15"))</f>
        <v>above 15</v>
      </c>
      <c r="T71" s="12" t="str">
        <f>IF(Table3[[#This Row],[AGE]]&gt;=20,"20-30",IF(Table3[[#This Row],[AGE]]&gt;=30,"30-40",IF(Table3[[#This Row],[AGE]]&gt;=40,"above 40","below 20")))</f>
        <v>20-30</v>
      </c>
      <c r="V71" s="10">
        <v>60</v>
      </c>
      <c r="W71" s="11">
        <v>60</v>
      </c>
      <c r="X71" s="11" t="b">
        <f>AND(V71&gt;25,W71&gt;25)</f>
        <v>1</v>
      </c>
      <c r="Y71" s="11" t="b">
        <f>OR(V71&gt;25,W71&gt;25)</f>
        <v>1</v>
      </c>
      <c r="Z71" s="54" t="str">
        <f t="shared" ref="Z71:AA73" si="14">IF(X71,"Pass","Fail")</f>
        <v>Pass</v>
      </c>
      <c r="AA71" s="54" t="str">
        <f t="shared" si="14"/>
        <v>Pass</v>
      </c>
      <c r="AB71" s="11" t="b">
        <f>_xlfn.XOR(V71&gt;25,W71&gt;25)</f>
        <v>0</v>
      </c>
      <c r="AC71" s="12" t="b">
        <f>NOT(X71)</f>
        <v>0</v>
      </c>
    </row>
    <row r="72" spans="2:29" ht="55.5" customHeight="1" x14ac:dyDescent="0.25">
      <c r="D72" s="57" t="s">
        <v>156</v>
      </c>
      <c r="E72" s="11"/>
      <c r="F72" s="58">
        <v>15562000</v>
      </c>
      <c r="Q72" s="10">
        <v>16</v>
      </c>
      <c r="R72" s="11" t="str">
        <f>IF(Table3[[#This Row],[AGE]]&gt;=18,"vote","no vote")</f>
        <v>no vote</v>
      </c>
      <c r="S72" s="11" t="str">
        <f>IF(Table3[[#This Row],[AGE]]&lt;10,"under10",IF(Table3[[#This Row],[AGE]]&gt;15,"above 15","10-15"))</f>
        <v>above 15</v>
      </c>
      <c r="T72" s="12" t="str">
        <f>IF(Table3[[#This Row],[AGE]]&gt;=20,"20-30",IF(Table3[[#This Row],[AGE]]&gt;=30,"30-40",IF(Table3[[#This Row],[AGE]]&gt;=40,"above 40","below 20")))</f>
        <v>below 20</v>
      </c>
      <c r="V72" s="10">
        <v>50</v>
      </c>
      <c r="W72" s="11">
        <v>85</v>
      </c>
      <c r="X72" s="11" t="b">
        <f t="shared" ref="X72:X77" si="15">AND(V72&gt;25,W72&gt;25)</f>
        <v>1</v>
      </c>
      <c r="Y72" s="11" t="b">
        <f t="shared" ref="Y72:Y77" si="16">OR(V72&gt;25,W72&gt;25)</f>
        <v>1</v>
      </c>
      <c r="Z72" s="54" t="str">
        <f t="shared" si="14"/>
        <v>Pass</v>
      </c>
      <c r="AA72" s="54" t="str">
        <f t="shared" si="14"/>
        <v>Pass</v>
      </c>
      <c r="AB72" s="11" t="b">
        <f t="shared" ref="AB72:AB77" si="17">_xlfn.XOR(V72&gt;25,W72&gt;25)</f>
        <v>0</v>
      </c>
      <c r="AC72" s="12" t="b">
        <f t="shared" ref="AC72:AC77" si="18">NOT(X72)</f>
        <v>0</v>
      </c>
    </row>
    <row r="73" spans="2:29" ht="62.25" customHeight="1" x14ac:dyDescent="0.25">
      <c r="D73" s="57" t="s">
        <v>159</v>
      </c>
      <c r="E73" s="11"/>
      <c r="F73" s="58">
        <v>14589232</v>
      </c>
      <c r="Q73" s="10">
        <v>23</v>
      </c>
      <c r="R73" s="11" t="str">
        <f>IF(Table3[[#This Row],[AGE]]&gt;=18,"vote","no vote")</f>
        <v>vote</v>
      </c>
      <c r="S73" s="11" t="str">
        <f>IF(Table3[[#This Row],[AGE]]&lt;10,"under10",IF(Table3[[#This Row],[AGE]]&gt;15,"above 15","10-15"))</f>
        <v>above 15</v>
      </c>
      <c r="T73" s="12" t="str">
        <f>IF(Table3[[#This Row],[AGE]]&gt;=20,"20-30",IF(Table3[[#This Row],[AGE]]&gt;=30,"30-40",IF(Table3[[#This Row],[AGE]]&gt;=40,"above 40","below 20")))</f>
        <v>20-30</v>
      </c>
      <c r="V73" s="10">
        <v>84</v>
      </c>
      <c r="W73" s="11">
        <v>80</v>
      </c>
      <c r="X73" s="11" t="b">
        <f t="shared" si="15"/>
        <v>1</v>
      </c>
      <c r="Y73" s="11" t="b">
        <f t="shared" si="16"/>
        <v>1</v>
      </c>
      <c r="Z73" s="54" t="str">
        <f t="shared" si="14"/>
        <v>Pass</v>
      </c>
      <c r="AA73" s="54" t="str">
        <f t="shared" si="14"/>
        <v>Pass</v>
      </c>
      <c r="AB73" s="11" t="b">
        <f t="shared" si="17"/>
        <v>0</v>
      </c>
      <c r="AC73" s="12" t="b">
        <f t="shared" si="18"/>
        <v>0</v>
      </c>
    </row>
    <row r="74" spans="2:29" ht="63.75" customHeight="1" x14ac:dyDescent="0.25">
      <c r="D74" s="57" t="s">
        <v>158</v>
      </c>
      <c r="E74" s="11"/>
      <c r="F74" s="58">
        <v>789523224</v>
      </c>
      <c r="Q74" s="10">
        <v>14</v>
      </c>
      <c r="R74" s="11" t="str">
        <f>IF(Table3[[#This Row],[AGE]]&gt;=18,"vote","no vote")</f>
        <v>no vote</v>
      </c>
      <c r="S74" s="11" t="str">
        <f>IF(Table3[[#This Row],[AGE]]&lt;10,"under10",IF(Table3[[#This Row],[AGE]]&gt;15,"above 15","10-15"))</f>
        <v>10-15</v>
      </c>
      <c r="T74" s="12" t="str">
        <f>IF(Table3[[#This Row],[AGE]]&gt;=20,"20-30",IF(Table3[[#This Row],[AGE]]&gt;=30,"30-40",IF(Table3[[#This Row],[AGE]]&gt;=40,"above 40","below 20")))</f>
        <v>below 20</v>
      </c>
      <c r="V74" s="10">
        <v>85</v>
      </c>
      <c r="W74" s="11">
        <v>25</v>
      </c>
      <c r="X74" s="11" t="b">
        <f t="shared" si="15"/>
        <v>0</v>
      </c>
      <c r="Y74" s="11" t="b">
        <f t="shared" si="16"/>
        <v>1</v>
      </c>
      <c r="Z74" s="53" t="str">
        <f t="shared" ref="Z74:Z77" si="19">IF(X74,"Pass","Fail")</f>
        <v>Fail</v>
      </c>
      <c r="AA74" s="54" t="str">
        <f t="shared" ref="AA74:AA77" si="20">IF(Y74,"Pass","Fail")</f>
        <v>Pass</v>
      </c>
      <c r="AB74" s="11" t="b">
        <f t="shared" si="17"/>
        <v>1</v>
      </c>
      <c r="AC74" s="12" t="b">
        <f t="shared" si="18"/>
        <v>1</v>
      </c>
    </row>
    <row r="75" spans="2:29" ht="57" customHeight="1" x14ac:dyDescent="0.25">
      <c r="D75" s="57" t="s">
        <v>157</v>
      </c>
      <c r="E75" s="11"/>
      <c r="F75" s="58">
        <v>46621654</v>
      </c>
      <c r="G75" s="2"/>
      <c r="Q75" s="10">
        <v>15</v>
      </c>
      <c r="R75" s="11" t="str">
        <f>IF(Table3[[#This Row],[AGE]]&gt;=18,"vote","no vote")</f>
        <v>no vote</v>
      </c>
      <c r="S75" s="11" t="str">
        <f>IF(Table3[[#This Row],[AGE]]&lt;10,"under10",IF(Table3[[#This Row],[AGE]]&gt;15,"above 15","10-15"))</f>
        <v>10-15</v>
      </c>
      <c r="T75" s="12" t="str">
        <f>IF(Table3[[#This Row],[AGE]]&gt;=20,"20-30",IF(Table3[[#This Row],[AGE]]&gt;=30,"30-40",IF(Table3[[#This Row],[AGE]]&gt;=40,"above 40","below 20")))</f>
        <v>below 20</v>
      </c>
      <c r="V75" s="10">
        <v>30</v>
      </c>
      <c r="W75" s="11">
        <v>20</v>
      </c>
      <c r="X75" s="11" t="b">
        <f t="shared" si="15"/>
        <v>0</v>
      </c>
      <c r="Y75" s="11" t="b">
        <f t="shared" si="16"/>
        <v>1</v>
      </c>
      <c r="Z75" s="53" t="str">
        <f t="shared" si="19"/>
        <v>Fail</v>
      </c>
      <c r="AA75" s="54" t="str">
        <f t="shared" si="20"/>
        <v>Pass</v>
      </c>
      <c r="AB75" s="11" t="b">
        <f t="shared" si="17"/>
        <v>1</v>
      </c>
      <c r="AC75" s="12" t="b">
        <f t="shared" si="18"/>
        <v>1</v>
      </c>
    </row>
    <row r="76" spans="2:29" x14ac:dyDescent="0.25">
      <c r="Q76" s="10">
        <v>25</v>
      </c>
      <c r="R76" s="11" t="str">
        <f>IF(Table3[[#This Row],[AGE]]&gt;=18,"vote","no vote")</f>
        <v>vote</v>
      </c>
      <c r="S76" s="11" t="str">
        <f>IF(Table3[[#This Row],[AGE]]&lt;10,"under10",IF(Table3[[#This Row],[AGE]]&gt;15,"above 15","10-15"))</f>
        <v>above 15</v>
      </c>
      <c r="T76" s="12" t="str">
        <f>IF(Table3[[#This Row],[AGE]]&gt;=20,"20-30",IF(Table3[[#This Row],[AGE]]&gt;=30,"30-40",IF(Table3[[#This Row],[AGE]]&gt;=40,"above 40","below 20")))</f>
        <v>20-30</v>
      </c>
      <c r="V76" s="10">
        <v>35</v>
      </c>
      <c r="W76" s="11">
        <v>60</v>
      </c>
      <c r="X76" s="11" t="b">
        <f t="shared" si="15"/>
        <v>1</v>
      </c>
      <c r="Y76" s="11" t="b">
        <f t="shared" si="16"/>
        <v>1</v>
      </c>
      <c r="Z76" s="54" t="str">
        <f t="shared" si="19"/>
        <v>Pass</v>
      </c>
      <c r="AA76" s="54" t="str">
        <f t="shared" si="20"/>
        <v>Pass</v>
      </c>
      <c r="AB76" s="11" t="b">
        <f t="shared" si="17"/>
        <v>0</v>
      </c>
      <c r="AC76" s="12" t="b">
        <f t="shared" si="18"/>
        <v>0</v>
      </c>
    </row>
    <row r="77" spans="2:29" x14ac:dyDescent="0.25">
      <c r="Q77" s="13">
        <v>80</v>
      </c>
      <c r="R77" s="14" t="str">
        <f>IF(Table3[[#This Row],[AGE]]&gt;=18,"vote","no vote")</f>
        <v>vote</v>
      </c>
      <c r="S77" s="14" t="str">
        <f>IF(Table3[[#This Row],[AGE]]&lt;10,"under10",IF(Table3[[#This Row],[AGE]]&gt;15,"above 15","10-15"))</f>
        <v>above 15</v>
      </c>
      <c r="T77" s="15" t="str">
        <f>IF(Table3[[#This Row],[AGE]]&gt;=20,"20-30",IF(Table3[[#This Row],[AGE]]&gt;=30,"30-40",IF(Table3[[#This Row],[AGE]]&gt;=40,"above 40","below 20")))</f>
        <v>20-30</v>
      </c>
      <c r="V77" s="13">
        <v>40</v>
      </c>
      <c r="W77" s="14">
        <v>50</v>
      </c>
      <c r="X77" s="14" t="b">
        <f t="shared" si="15"/>
        <v>1</v>
      </c>
      <c r="Y77" s="14" t="b">
        <f t="shared" si="16"/>
        <v>1</v>
      </c>
      <c r="Z77" s="55" t="str">
        <f t="shared" si="19"/>
        <v>Pass</v>
      </c>
      <c r="AA77" s="54" t="str">
        <f t="shared" si="20"/>
        <v>Pass</v>
      </c>
      <c r="AB77" s="14" t="b">
        <f t="shared" si="17"/>
        <v>0</v>
      </c>
      <c r="AC77" s="15" t="b">
        <f t="shared" si="18"/>
        <v>0</v>
      </c>
    </row>
    <row r="80" spans="2:29" ht="28.5" x14ac:dyDescent="0.25">
      <c r="B80" s="68"/>
      <c r="C80" s="68"/>
      <c r="D80" s="68"/>
      <c r="E80" s="69" t="s">
        <v>160</v>
      </c>
      <c r="F80" s="68"/>
      <c r="G80" s="68"/>
      <c r="H80" s="68"/>
      <c r="I80" s="70"/>
      <c r="J80" s="70"/>
      <c r="K80" s="70"/>
    </row>
    <row r="81" spans="2:24" ht="14.25" customHeight="1" x14ac:dyDescent="0.25">
      <c r="B81" s="60" t="s">
        <v>161</v>
      </c>
      <c r="C81" s="60" t="s">
        <v>162</v>
      </c>
      <c r="D81" s="60" t="s">
        <v>163</v>
      </c>
      <c r="E81" s="60" t="s">
        <v>164</v>
      </c>
      <c r="F81" s="60" t="s">
        <v>165</v>
      </c>
      <c r="G81" s="60" t="s">
        <v>166</v>
      </c>
      <c r="H81" s="60" t="s">
        <v>167</v>
      </c>
      <c r="I81" s="60" t="s">
        <v>214</v>
      </c>
      <c r="J81" s="66" t="s">
        <v>215</v>
      </c>
      <c r="K81" s="66" t="s">
        <v>227</v>
      </c>
      <c r="M81" s="81" t="s">
        <v>216</v>
      </c>
      <c r="N81" s="82">
        <v>0</v>
      </c>
      <c r="O81" s="83">
        <v>0</v>
      </c>
      <c r="P81" s="81" t="s">
        <v>217</v>
      </c>
      <c r="Q81" s="84">
        <v>0</v>
      </c>
      <c r="R81" s="81" t="s">
        <v>218</v>
      </c>
      <c r="S81" s="85" t="s">
        <v>221</v>
      </c>
      <c r="T81" s="85" t="s">
        <v>222</v>
      </c>
      <c r="U81" s="85" t="s">
        <v>223</v>
      </c>
      <c r="V81" s="85" t="s">
        <v>224</v>
      </c>
      <c r="W81" s="85" t="s">
        <v>225</v>
      </c>
      <c r="X81" s="85" t="s">
        <v>226</v>
      </c>
    </row>
    <row r="82" spans="2:24" ht="16.5" customHeight="1" thickBot="1" x14ac:dyDescent="0.3">
      <c r="B82" s="61" t="s">
        <v>168</v>
      </c>
      <c r="C82" s="61" t="s">
        <v>169</v>
      </c>
      <c r="D82" s="61" t="s">
        <v>170</v>
      </c>
      <c r="E82" s="62">
        <v>45292</v>
      </c>
      <c r="F82" s="63">
        <v>13</v>
      </c>
      <c r="G82" s="62">
        <v>45305</v>
      </c>
      <c r="H82" s="64">
        <v>0.78</v>
      </c>
      <c r="I82" s="61">
        <v>125000</v>
      </c>
      <c r="J82" s="67">
        <v>125000</v>
      </c>
      <c r="K82" s="67" t="s">
        <v>228</v>
      </c>
      <c r="M82" s="86">
        <v>13</v>
      </c>
      <c r="N82" s="71">
        <v>13</v>
      </c>
      <c r="O82" s="72">
        <v>13</v>
      </c>
      <c r="P82" s="74">
        <v>13</v>
      </c>
      <c r="Q82" s="73">
        <v>13</v>
      </c>
      <c r="R82" s="75">
        <v>13</v>
      </c>
      <c r="S82" s="76">
        <v>13</v>
      </c>
      <c r="T82" s="77">
        <v>13</v>
      </c>
      <c r="U82" s="78">
        <v>13</v>
      </c>
      <c r="V82" s="79">
        <v>13</v>
      </c>
      <c r="W82" s="87">
        <v>13</v>
      </c>
      <c r="X82" s="80">
        <v>13</v>
      </c>
    </row>
    <row r="83" spans="2:24" ht="14.25" customHeight="1" thickTop="1" thickBot="1" x14ac:dyDescent="0.3">
      <c r="B83" s="61" t="s">
        <v>168</v>
      </c>
      <c r="C83" s="61" t="s">
        <v>171</v>
      </c>
      <c r="D83" s="61" t="s">
        <v>172</v>
      </c>
      <c r="E83" s="62">
        <v>45305</v>
      </c>
      <c r="F83" s="63">
        <v>14</v>
      </c>
      <c r="G83" s="62">
        <v>45319</v>
      </c>
      <c r="H83" s="64">
        <v>1</v>
      </c>
      <c r="I83" s="61">
        <v>180000</v>
      </c>
      <c r="J83" s="67">
        <v>180000</v>
      </c>
      <c r="K83" s="67" t="s">
        <v>229</v>
      </c>
      <c r="M83" s="86">
        <v>3.3</v>
      </c>
      <c r="N83" s="71">
        <v>3.3</v>
      </c>
      <c r="O83" s="72">
        <v>3.3</v>
      </c>
      <c r="P83" s="74">
        <v>3.3</v>
      </c>
      <c r="Q83" s="73">
        <v>3.3</v>
      </c>
      <c r="R83" s="75">
        <v>3.3</v>
      </c>
      <c r="S83" s="76">
        <v>3.3</v>
      </c>
      <c r="T83" s="77">
        <v>3.3</v>
      </c>
      <c r="U83" s="78">
        <v>3.3</v>
      </c>
      <c r="V83" s="79">
        <v>3.3</v>
      </c>
      <c r="W83" s="87">
        <v>3.3</v>
      </c>
      <c r="X83" s="80">
        <v>3.3</v>
      </c>
    </row>
    <row r="84" spans="2:24" ht="17.25" customHeight="1" thickTop="1" thickBot="1" x14ac:dyDescent="0.3">
      <c r="B84" s="61" t="s">
        <v>168</v>
      </c>
      <c r="C84" s="61" t="s">
        <v>173</v>
      </c>
      <c r="D84" s="61" t="s">
        <v>174</v>
      </c>
      <c r="E84" s="62">
        <v>45319</v>
      </c>
      <c r="F84" s="63">
        <v>22</v>
      </c>
      <c r="G84" s="62">
        <v>45341</v>
      </c>
      <c r="H84" s="64">
        <v>0.45</v>
      </c>
      <c r="I84" s="61">
        <v>220000</v>
      </c>
      <c r="J84" s="67">
        <v>220000</v>
      </c>
      <c r="K84" s="67" t="s">
        <v>229</v>
      </c>
      <c r="M84" s="86">
        <v>-67.900000000000006</v>
      </c>
      <c r="N84" s="71">
        <v>-67.900000000000006</v>
      </c>
      <c r="O84" s="72">
        <v>-67.900000000000006</v>
      </c>
      <c r="P84" s="74">
        <v>-67.900000000000006</v>
      </c>
      <c r="Q84" s="73">
        <v>-67.900000000000006</v>
      </c>
      <c r="R84" s="75">
        <v>-67.900000000000006</v>
      </c>
      <c r="S84" s="76">
        <v>-67.900000000000006</v>
      </c>
      <c r="T84" s="77">
        <v>-67.900000000000006</v>
      </c>
      <c r="U84" s="78">
        <v>-67.900000000000006</v>
      </c>
      <c r="V84" s="79">
        <v>-67.900000000000006</v>
      </c>
      <c r="W84" s="87">
        <v>-67.900000000000006</v>
      </c>
      <c r="X84" s="80">
        <v>-67.900000000000006</v>
      </c>
    </row>
    <row r="85" spans="2:24" ht="14.25" customHeight="1" thickTop="1" thickBot="1" x14ac:dyDescent="0.3">
      <c r="B85" s="61" t="s">
        <v>168</v>
      </c>
      <c r="C85" s="61" t="s">
        <v>175</v>
      </c>
      <c r="D85" s="61" t="s">
        <v>176</v>
      </c>
      <c r="E85" s="62">
        <v>45340</v>
      </c>
      <c r="F85" s="63">
        <v>25</v>
      </c>
      <c r="G85" s="62">
        <v>45365</v>
      </c>
      <c r="H85" s="64">
        <v>0</v>
      </c>
      <c r="I85" s="61">
        <v>275000</v>
      </c>
      <c r="J85" s="67">
        <v>275000</v>
      </c>
      <c r="K85" s="67" t="s">
        <v>228</v>
      </c>
      <c r="M85" s="86">
        <v>-40.049999999999997</v>
      </c>
      <c r="N85" s="71">
        <v>-40.049999999999997</v>
      </c>
      <c r="O85" s="72">
        <v>-40.049999999999997</v>
      </c>
      <c r="P85" s="74">
        <v>-40.049999999999997</v>
      </c>
      <c r="Q85" s="73">
        <v>-40.049999999999997</v>
      </c>
      <c r="R85" s="75">
        <v>-40.049999999999997</v>
      </c>
      <c r="S85" s="76">
        <v>-40.049999999999997</v>
      </c>
      <c r="T85" s="77">
        <v>-40.049999999999997</v>
      </c>
      <c r="U85" s="78">
        <v>-40.049999999999997</v>
      </c>
      <c r="V85" s="79">
        <v>-40.049999999999997</v>
      </c>
      <c r="W85" s="87">
        <v>-40.049999999999997</v>
      </c>
      <c r="X85" s="80">
        <v>-40.049999999999997</v>
      </c>
    </row>
    <row r="86" spans="2:24" ht="15" customHeight="1" thickTop="1" thickBot="1" x14ac:dyDescent="0.3">
      <c r="B86" s="61" t="s">
        <v>177</v>
      </c>
      <c r="C86" s="61" t="s">
        <v>178</v>
      </c>
      <c r="D86" s="61" t="s">
        <v>179</v>
      </c>
      <c r="E86" s="62">
        <v>45293</v>
      </c>
      <c r="F86" s="63">
        <v>18</v>
      </c>
      <c r="G86" s="62">
        <v>45311</v>
      </c>
      <c r="H86" s="64">
        <v>1</v>
      </c>
      <c r="I86" s="61">
        <v>450000</v>
      </c>
      <c r="J86" s="67">
        <v>450000</v>
      </c>
      <c r="K86" s="67" t="s">
        <v>229</v>
      </c>
      <c r="M86" s="86">
        <v>4.3</v>
      </c>
      <c r="N86" s="71">
        <v>4.3</v>
      </c>
      <c r="O86" s="72">
        <v>4.3</v>
      </c>
      <c r="P86" s="74">
        <v>4.3</v>
      </c>
      <c r="Q86" s="73">
        <v>4.3</v>
      </c>
      <c r="R86" s="75">
        <v>4.3</v>
      </c>
      <c r="S86" s="76">
        <v>4.3</v>
      </c>
      <c r="T86" s="77">
        <v>4.3</v>
      </c>
      <c r="U86" s="78">
        <v>4.3</v>
      </c>
      <c r="V86" s="79">
        <v>4.3</v>
      </c>
      <c r="W86" s="87">
        <v>4.3</v>
      </c>
      <c r="X86" s="80">
        <v>4.3</v>
      </c>
    </row>
    <row r="87" spans="2:24" ht="18.75" thickTop="1" thickBot="1" x14ac:dyDescent="0.3">
      <c r="B87" s="61" t="s">
        <v>177</v>
      </c>
      <c r="C87" s="61" t="s">
        <v>180</v>
      </c>
      <c r="D87" s="61" t="s">
        <v>181</v>
      </c>
      <c r="E87" s="62">
        <v>45311</v>
      </c>
      <c r="F87" s="63">
        <v>10</v>
      </c>
      <c r="G87" s="62">
        <v>45321</v>
      </c>
      <c r="H87" s="64">
        <v>0.78</v>
      </c>
      <c r="I87" s="61">
        <v>320000</v>
      </c>
      <c r="J87" s="67">
        <v>320000</v>
      </c>
      <c r="K87" s="67" t="s">
        <v>229</v>
      </c>
      <c r="M87" s="86">
        <v>11.2</v>
      </c>
      <c r="N87" s="71">
        <v>11.2</v>
      </c>
      <c r="O87" s="72">
        <v>11.2</v>
      </c>
      <c r="P87" s="74">
        <v>11.2</v>
      </c>
      <c r="Q87" s="73">
        <v>11.2</v>
      </c>
      <c r="R87" s="75">
        <v>11.2</v>
      </c>
      <c r="S87" s="76">
        <v>11.2</v>
      </c>
      <c r="T87" s="77">
        <v>11.2</v>
      </c>
      <c r="U87" s="78">
        <v>11.2</v>
      </c>
      <c r="V87" s="79">
        <v>11.2</v>
      </c>
      <c r="W87" s="87">
        <v>11.2</v>
      </c>
      <c r="X87" s="80">
        <v>11.2</v>
      </c>
    </row>
    <row r="88" spans="2:24" ht="18.75" thickTop="1" thickBot="1" x14ac:dyDescent="0.3">
      <c r="B88" s="61" t="s">
        <v>177</v>
      </c>
      <c r="C88" s="61" t="s">
        <v>182</v>
      </c>
      <c r="D88" s="61" t="s">
        <v>183</v>
      </c>
      <c r="E88" s="62">
        <v>45326</v>
      </c>
      <c r="F88" s="63">
        <v>25</v>
      </c>
      <c r="G88" s="62">
        <v>45351</v>
      </c>
      <c r="H88" s="64">
        <v>0</v>
      </c>
      <c r="I88" s="61">
        <v>380000</v>
      </c>
      <c r="J88" s="67">
        <v>380000</v>
      </c>
      <c r="K88" s="67" t="s">
        <v>228</v>
      </c>
      <c r="M88" s="86">
        <v>8.1999999999999993</v>
      </c>
      <c r="N88" s="71">
        <v>8.1999999999999993</v>
      </c>
      <c r="O88" s="72">
        <v>8.1999999999999993</v>
      </c>
      <c r="P88" s="74">
        <v>8.1999999999999993</v>
      </c>
      <c r="Q88" s="73">
        <v>8.1999999999999993</v>
      </c>
      <c r="R88" s="75">
        <v>8.1999999999999993</v>
      </c>
      <c r="S88" s="76">
        <v>8.1999999999999993</v>
      </c>
      <c r="T88" s="77">
        <v>8.1999999999999993</v>
      </c>
      <c r="U88" s="78">
        <v>8.1999999999999993</v>
      </c>
      <c r="V88" s="79">
        <v>8.1999999999999993</v>
      </c>
      <c r="W88" s="87">
        <v>8.1999999999999993</v>
      </c>
      <c r="X88" s="80">
        <v>8.1999999999999993</v>
      </c>
    </row>
    <row r="89" spans="2:24" ht="18.75" thickTop="1" thickBot="1" x14ac:dyDescent="0.3">
      <c r="B89" s="61" t="s">
        <v>184</v>
      </c>
      <c r="C89" s="61" t="s">
        <v>185</v>
      </c>
      <c r="D89" s="61" t="s">
        <v>186</v>
      </c>
      <c r="E89" s="62">
        <v>45323</v>
      </c>
      <c r="F89" s="63">
        <v>22</v>
      </c>
      <c r="G89" s="62">
        <v>45345</v>
      </c>
      <c r="H89" s="64">
        <v>1</v>
      </c>
      <c r="I89" s="61">
        <v>150000</v>
      </c>
      <c r="J89" s="67">
        <v>150000</v>
      </c>
      <c r="K89" s="67" t="s">
        <v>228</v>
      </c>
      <c r="M89" s="86">
        <v>-10.1</v>
      </c>
      <c r="N89" s="71">
        <v>-10.1</v>
      </c>
      <c r="O89" s="72">
        <v>-10.1</v>
      </c>
      <c r="P89" s="74">
        <v>-10.1</v>
      </c>
      <c r="Q89" s="73">
        <v>-10.1</v>
      </c>
      <c r="R89" s="75">
        <v>-10.1</v>
      </c>
      <c r="S89" s="76">
        <v>-10.1</v>
      </c>
      <c r="T89" s="77">
        <v>-10.1</v>
      </c>
      <c r="U89" s="78">
        <v>-10.1</v>
      </c>
      <c r="V89" s="79">
        <v>-10.1</v>
      </c>
      <c r="W89" s="87">
        <v>-10.1</v>
      </c>
      <c r="X89" s="80">
        <v>-10.1</v>
      </c>
    </row>
    <row r="90" spans="2:24" ht="18.75" thickTop="1" thickBot="1" x14ac:dyDescent="0.3">
      <c r="B90" s="61" t="s">
        <v>184</v>
      </c>
      <c r="C90" s="61" t="s">
        <v>187</v>
      </c>
      <c r="D90" s="61" t="s">
        <v>188</v>
      </c>
      <c r="E90" s="62">
        <v>45346</v>
      </c>
      <c r="F90" s="63">
        <v>25</v>
      </c>
      <c r="G90" s="62">
        <v>45371</v>
      </c>
      <c r="H90" s="64">
        <v>1</v>
      </c>
      <c r="I90" s="61">
        <v>120000</v>
      </c>
      <c r="J90" s="67">
        <v>120000</v>
      </c>
      <c r="K90" s="67" t="s">
        <v>228</v>
      </c>
      <c r="M90" s="86">
        <v>26.1</v>
      </c>
      <c r="N90" s="71">
        <v>26.1</v>
      </c>
      <c r="O90" s="72">
        <v>26.1</v>
      </c>
      <c r="P90" s="74">
        <v>26.1</v>
      </c>
      <c r="Q90" s="73">
        <v>26.1</v>
      </c>
      <c r="R90" s="75">
        <v>26.1</v>
      </c>
      <c r="S90" s="76">
        <v>26.1</v>
      </c>
      <c r="T90" s="77">
        <v>26.1</v>
      </c>
      <c r="U90" s="78">
        <v>26.1</v>
      </c>
      <c r="V90" s="79">
        <v>26.1</v>
      </c>
      <c r="W90" s="87">
        <v>26.1</v>
      </c>
      <c r="X90" s="80">
        <v>26.1</v>
      </c>
    </row>
    <row r="91" spans="2:24" ht="18.75" thickTop="1" thickBot="1" x14ac:dyDescent="0.3">
      <c r="B91" s="61" t="s">
        <v>184</v>
      </c>
      <c r="C91" s="61" t="s">
        <v>189</v>
      </c>
      <c r="D91" s="61" t="s">
        <v>190</v>
      </c>
      <c r="E91" s="62">
        <v>45372</v>
      </c>
      <c r="F91" s="63">
        <v>30</v>
      </c>
      <c r="G91" s="62">
        <v>45402</v>
      </c>
      <c r="H91" s="64">
        <v>0</v>
      </c>
      <c r="I91" s="61">
        <v>175000</v>
      </c>
      <c r="J91" s="67">
        <v>175000</v>
      </c>
      <c r="K91" s="67" t="s">
        <v>229</v>
      </c>
      <c r="M91" s="86">
        <v>17.8</v>
      </c>
      <c r="N91" s="71">
        <v>17.8</v>
      </c>
      <c r="O91" s="72">
        <v>17.8</v>
      </c>
      <c r="P91" s="74">
        <v>17.8</v>
      </c>
      <c r="Q91" s="73">
        <v>17.8</v>
      </c>
      <c r="R91" s="75">
        <v>17.8</v>
      </c>
      <c r="S91" s="76">
        <v>17.8</v>
      </c>
      <c r="T91" s="77">
        <v>17.8</v>
      </c>
      <c r="U91" s="78">
        <v>17.8</v>
      </c>
      <c r="V91" s="79">
        <v>17.8</v>
      </c>
      <c r="W91" s="87">
        <v>17.8</v>
      </c>
      <c r="X91" s="80">
        <v>17.8</v>
      </c>
    </row>
    <row r="92" spans="2:24" ht="18.75" thickTop="1" thickBot="1" x14ac:dyDescent="0.3">
      <c r="B92" s="61" t="s">
        <v>191</v>
      </c>
      <c r="C92" s="61" t="s">
        <v>192</v>
      </c>
      <c r="D92" s="61" t="s">
        <v>193</v>
      </c>
      <c r="E92" s="62">
        <v>45324</v>
      </c>
      <c r="F92" s="63">
        <v>22</v>
      </c>
      <c r="G92" s="62">
        <v>45346</v>
      </c>
      <c r="H92" s="64">
        <v>0.1</v>
      </c>
      <c r="I92" s="61">
        <v>500000</v>
      </c>
      <c r="J92" s="67">
        <v>500000</v>
      </c>
      <c r="K92" s="67" t="s">
        <v>228</v>
      </c>
      <c r="M92" s="86">
        <v>-17.2</v>
      </c>
      <c r="N92" s="71">
        <v>-17.2</v>
      </c>
      <c r="O92" s="72">
        <v>-17.2</v>
      </c>
      <c r="P92" s="74">
        <v>-17.2</v>
      </c>
      <c r="Q92" s="73">
        <v>-17.2</v>
      </c>
      <c r="R92" s="75">
        <v>-17.2</v>
      </c>
      <c r="S92" s="76">
        <v>-17.2</v>
      </c>
      <c r="T92" s="77">
        <v>-17.2</v>
      </c>
      <c r="U92" s="78">
        <v>-17.2</v>
      </c>
      <c r="V92" s="79">
        <v>-17.2</v>
      </c>
      <c r="W92" s="87">
        <v>-17.2</v>
      </c>
      <c r="X92" s="80">
        <v>-17.2</v>
      </c>
    </row>
    <row r="93" spans="2:24" ht="18.75" thickTop="1" thickBot="1" x14ac:dyDescent="0.3">
      <c r="B93" s="61" t="s">
        <v>191</v>
      </c>
      <c r="C93" s="61" t="s">
        <v>194</v>
      </c>
      <c r="D93" s="61" t="s">
        <v>195</v>
      </c>
      <c r="E93" s="62">
        <v>45335</v>
      </c>
      <c r="F93" s="63">
        <v>21</v>
      </c>
      <c r="G93" s="62">
        <v>45331</v>
      </c>
      <c r="H93" s="64">
        <v>0.78</v>
      </c>
      <c r="I93" s="61">
        <v>420000</v>
      </c>
      <c r="J93" s="67">
        <v>420000</v>
      </c>
      <c r="K93" s="67" t="s">
        <v>229</v>
      </c>
      <c r="P93" s="6"/>
    </row>
    <row r="94" spans="2:24" ht="18.75" thickTop="1" thickBot="1" x14ac:dyDescent="0.3">
      <c r="B94" s="61" t="s">
        <v>191</v>
      </c>
      <c r="C94" s="61" t="s">
        <v>196</v>
      </c>
      <c r="D94" s="61" t="s">
        <v>195</v>
      </c>
      <c r="E94" s="62">
        <v>45370</v>
      </c>
      <c r="F94" s="63">
        <v>25</v>
      </c>
      <c r="G94" s="62">
        <v>45395</v>
      </c>
      <c r="H94" s="64">
        <v>1</v>
      </c>
      <c r="I94" s="61">
        <v>850000</v>
      </c>
      <c r="J94" s="67">
        <v>850000</v>
      </c>
      <c r="K94" s="67" t="s">
        <v>229</v>
      </c>
      <c r="O94" s="65"/>
      <c r="Q94" s="88" t="s">
        <v>230</v>
      </c>
      <c r="R94" s="88"/>
    </row>
    <row r="95" spans="2:24" ht="18.75" thickTop="1" thickBot="1" x14ac:dyDescent="0.3">
      <c r="B95" s="61" t="s">
        <v>197</v>
      </c>
      <c r="C95" s="61" t="s">
        <v>198</v>
      </c>
      <c r="D95" s="61" t="s">
        <v>199</v>
      </c>
      <c r="E95" s="62">
        <v>45293</v>
      </c>
      <c r="F95" s="63">
        <v>23</v>
      </c>
      <c r="G95" s="62">
        <v>45316</v>
      </c>
      <c r="H95" s="64">
        <v>0.5</v>
      </c>
      <c r="I95" s="61">
        <v>280000</v>
      </c>
      <c r="J95" s="67">
        <v>280000</v>
      </c>
      <c r="K95" s="67" t="s">
        <v>228</v>
      </c>
      <c r="O95" s="65"/>
      <c r="Q95" s="92" t="s">
        <v>231</v>
      </c>
      <c r="R95" s="89" t="s">
        <v>232</v>
      </c>
    </row>
    <row r="96" spans="2:24" ht="18.75" thickTop="1" thickBot="1" x14ac:dyDescent="0.3">
      <c r="B96" s="61" t="s">
        <v>197</v>
      </c>
      <c r="C96" s="61" t="s">
        <v>200</v>
      </c>
      <c r="D96" s="61" t="s">
        <v>201</v>
      </c>
      <c r="E96" s="62">
        <v>45317</v>
      </c>
      <c r="F96" s="63">
        <v>32</v>
      </c>
      <c r="G96" s="62">
        <v>45349</v>
      </c>
      <c r="H96" s="64">
        <v>0</v>
      </c>
      <c r="I96" s="61">
        <v>310000</v>
      </c>
      <c r="J96" s="67">
        <v>310000</v>
      </c>
      <c r="K96" s="67" t="s">
        <v>228</v>
      </c>
      <c r="O96" s="65"/>
      <c r="Q96" s="92" t="s">
        <v>233</v>
      </c>
      <c r="R96" s="90" t="s">
        <v>232</v>
      </c>
    </row>
    <row r="97" spans="2:27" ht="22.5" thickTop="1" thickBot="1" x14ac:dyDescent="0.4">
      <c r="B97" s="61" t="s">
        <v>197</v>
      </c>
      <c r="C97" s="61" t="s">
        <v>202</v>
      </c>
      <c r="D97" s="61" t="s">
        <v>203</v>
      </c>
      <c r="E97" s="62">
        <v>45350</v>
      </c>
      <c r="F97" s="63">
        <v>27</v>
      </c>
      <c r="G97" s="62">
        <v>45377</v>
      </c>
      <c r="H97" s="64">
        <v>0</v>
      </c>
      <c r="I97" s="61">
        <v>260000</v>
      </c>
      <c r="J97" s="67">
        <v>260000</v>
      </c>
      <c r="K97" s="67" t="s">
        <v>228</v>
      </c>
      <c r="O97" s="65"/>
      <c r="Q97" s="92" t="s">
        <v>237</v>
      </c>
      <c r="R97" s="11" t="str">
        <f>10&amp;"-"&amp;20</f>
        <v>10-20</v>
      </c>
      <c r="U97" s="107" t="s">
        <v>285</v>
      </c>
      <c r="V97" s="107"/>
      <c r="W97" s="107"/>
    </row>
    <row r="98" spans="2:27" ht="18.75" thickTop="1" thickBot="1" x14ac:dyDescent="0.3">
      <c r="B98" s="61" t="s">
        <v>204</v>
      </c>
      <c r="C98" s="61" t="s">
        <v>205</v>
      </c>
      <c r="D98" s="61" t="s">
        <v>206</v>
      </c>
      <c r="E98" s="62">
        <v>45293</v>
      </c>
      <c r="F98" s="63">
        <v>36</v>
      </c>
      <c r="G98" s="62">
        <v>45329</v>
      </c>
      <c r="H98" s="64">
        <v>1</v>
      </c>
      <c r="I98" s="61">
        <v>950000</v>
      </c>
      <c r="J98" s="67">
        <v>950000</v>
      </c>
      <c r="K98" s="67" t="s">
        <v>229</v>
      </c>
      <c r="O98" s="65"/>
      <c r="Q98" s="92" t="s">
        <v>238</v>
      </c>
      <c r="R98" s="91">
        <v>10</v>
      </c>
    </row>
    <row r="99" spans="2:27" ht="18.75" thickTop="1" thickBot="1" x14ac:dyDescent="0.3">
      <c r="B99" s="61" t="s">
        <v>204</v>
      </c>
      <c r="C99" s="61" t="s">
        <v>207</v>
      </c>
      <c r="D99" s="61" t="s">
        <v>208</v>
      </c>
      <c r="E99" s="62">
        <v>45330</v>
      </c>
      <c r="F99" s="63">
        <v>34</v>
      </c>
      <c r="G99" s="62">
        <v>45364</v>
      </c>
      <c r="H99" s="64">
        <v>0</v>
      </c>
      <c r="I99" s="61">
        <v>720000</v>
      </c>
      <c r="J99" s="67">
        <v>720000</v>
      </c>
      <c r="K99" s="67" t="s">
        <v>229</v>
      </c>
      <c r="O99" s="65"/>
      <c r="Q99" s="93" t="s">
        <v>234</v>
      </c>
      <c r="R99" s="10"/>
      <c r="U99" s="98" t="s">
        <v>262</v>
      </c>
      <c r="V99" s="98" t="s">
        <v>264</v>
      </c>
      <c r="W99" s="98" t="s">
        <v>265</v>
      </c>
      <c r="X99" s="98" t="s">
        <v>266</v>
      </c>
      <c r="Y99" s="98" t="s">
        <v>267</v>
      </c>
    </row>
    <row r="100" spans="2:27" ht="18.75" thickTop="1" thickBot="1" x14ac:dyDescent="0.3">
      <c r="B100" s="61" t="s">
        <v>204</v>
      </c>
      <c r="C100" s="61" t="s">
        <v>209</v>
      </c>
      <c r="D100" s="61" t="s">
        <v>210</v>
      </c>
      <c r="E100" s="62">
        <v>45365</v>
      </c>
      <c r="F100" s="63">
        <v>30</v>
      </c>
      <c r="G100" s="62">
        <v>45395</v>
      </c>
      <c r="H100" s="64">
        <v>0</v>
      </c>
      <c r="I100" s="61">
        <v>180000</v>
      </c>
      <c r="J100" s="67">
        <v>180000</v>
      </c>
      <c r="K100" s="67" t="s">
        <v>228</v>
      </c>
      <c r="O100" s="65"/>
      <c r="Q100" s="94" t="s">
        <v>235</v>
      </c>
      <c r="R100" s="94" t="s">
        <v>236</v>
      </c>
      <c r="U100" t="s">
        <v>85</v>
      </c>
      <c r="V100">
        <v>2</v>
      </c>
      <c r="W100">
        <v>110</v>
      </c>
      <c r="X100">
        <v>55</v>
      </c>
      <c r="Y100">
        <v>18</v>
      </c>
    </row>
    <row r="101" spans="2:27" ht="18.75" thickTop="1" thickBot="1" x14ac:dyDescent="0.3">
      <c r="B101" s="61" t="s">
        <v>211</v>
      </c>
      <c r="C101" s="61" t="s">
        <v>212</v>
      </c>
      <c r="D101" s="61" t="s">
        <v>213</v>
      </c>
      <c r="E101" s="62">
        <v>45294</v>
      </c>
      <c r="F101" s="63">
        <v>40</v>
      </c>
      <c r="G101" s="62">
        <v>45341</v>
      </c>
      <c r="H101" s="64">
        <v>0.3</v>
      </c>
      <c r="I101" s="61">
        <v>1250000</v>
      </c>
      <c r="J101" s="67">
        <v>1250000</v>
      </c>
      <c r="K101" s="67" t="s">
        <v>228</v>
      </c>
      <c r="O101" s="65"/>
      <c r="Q101" s="11">
        <v>10</v>
      </c>
      <c r="R101" s="11">
        <v>20</v>
      </c>
      <c r="U101" t="s">
        <v>82</v>
      </c>
      <c r="V101">
        <v>2</v>
      </c>
      <c r="W101">
        <v>117</v>
      </c>
      <c r="X101">
        <v>58.5</v>
      </c>
      <c r="Y101">
        <v>24.5</v>
      </c>
    </row>
    <row r="102" spans="2:27" ht="15.75" thickTop="1" x14ac:dyDescent="0.25">
      <c r="P102" s="65"/>
      <c r="U102" t="s">
        <v>88</v>
      </c>
      <c r="V102">
        <v>2</v>
      </c>
      <c r="W102">
        <v>107</v>
      </c>
      <c r="X102">
        <v>53.5</v>
      </c>
      <c r="Y102">
        <v>24.5</v>
      </c>
    </row>
    <row r="103" spans="2:27" x14ac:dyDescent="0.25">
      <c r="U103" t="s">
        <v>90</v>
      </c>
      <c r="V103">
        <v>2</v>
      </c>
      <c r="W103">
        <v>114</v>
      </c>
      <c r="X103">
        <v>57</v>
      </c>
      <c r="Y103">
        <v>18</v>
      </c>
    </row>
    <row r="105" spans="2:27" x14ac:dyDescent="0.25">
      <c r="U105" t="s">
        <v>292</v>
      </c>
      <c r="V105">
        <v>4</v>
      </c>
      <c r="W105">
        <v>211</v>
      </c>
      <c r="X105">
        <v>52.75</v>
      </c>
      <c r="Y105">
        <v>4.916666666666667</v>
      </c>
    </row>
    <row r="106" spans="2:27" ht="15.75" thickBot="1" x14ac:dyDescent="0.3">
      <c r="U106" s="97" t="s">
        <v>293</v>
      </c>
      <c r="V106" s="97">
        <v>4</v>
      </c>
      <c r="W106" s="97">
        <v>237</v>
      </c>
      <c r="X106" s="97">
        <v>59.25</v>
      </c>
      <c r="Y106" s="97">
        <v>4.916666666666667</v>
      </c>
    </row>
    <row r="109" spans="2:27" ht="15.75" thickBot="1" x14ac:dyDescent="0.3">
      <c r="U109" t="s">
        <v>268</v>
      </c>
    </row>
    <row r="110" spans="2:27" x14ac:dyDescent="0.25">
      <c r="P110" s="104" t="s">
        <v>1</v>
      </c>
      <c r="Q110" s="104" t="s">
        <v>292</v>
      </c>
      <c r="R110" s="104" t="s">
        <v>293</v>
      </c>
      <c r="S110" s="104" t="s">
        <v>294</v>
      </c>
      <c r="U110" s="98" t="s">
        <v>269</v>
      </c>
      <c r="V110" s="98" t="s">
        <v>270</v>
      </c>
      <c r="W110" s="98" t="s">
        <v>271</v>
      </c>
      <c r="X110" s="98" t="s">
        <v>272</v>
      </c>
      <c r="Y110" s="98" t="s">
        <v>273</v>
      </c>
      <c r="Z110" s="98" t="s">
        <v>274</v>
      </c>
      <c r="AA110" s="98" t="s">
        <v>275</v>
      </c>
    </row>
    <row r="111" spans="2:27" x14ac:dyDescent="0.25">
      <c r="P111" s="33" t="s">
        <v>85</v>
      </c>
      <c r="Q111" s="33">
        <v>52</v>
      </c>
      <c r="R111" s="33">
        <v>58</v>
      </c>
      <c r="S111" s="33">
        <v>61</v>
      </c>
      <c r="U111" t="s">
        <v>286</v>
      </c>
      <c r="V111">
        <v>29</v>
      </c>
      <c r="W111">
        <v>3</v>
      </c>
      <c r="X111">
        <v>9.6666666666666661</v>
      </c>
      <c r="Y111">
        <v>58</v>
      </c>
      <c r="Z111">
        <v>3.7269208094984868E-3</v>
      </c>
      <c r="AA111">
        <v>9.2766281531448112</v>
      </c>
    </row>
    <row r="112" spans="2:27" x14ac:dyDescent="0.25">
      <c r="P112" s="33" t="s">
        <v>82</v>
      </c>
      <c r="Q112" s="33">
        <v>55</v>
      </c>
      <c r="R112" s="33">
        <v>62</v>
      </c>
      <c r="S112" s="33">
        <v>65</v>
      </c>
      <c r="U112" t="s">
        <v>282</v>
      </c>
      <c r="V112">
        <v>84.5</v>
      </c>
      <c r="W112">
        <v>1</v>
      </c>
      <c r="X112">
        <v>84.5</v>
      </c>
      <c r="Y112">
        <v>507</v>
      </c>
      <c r="Z112">
        <v>1.9181546922681554E-4</v>
      </c>
      <c r="AA112">
        <v>10.127964486013932</v>
      </c>
    </row>
    <row r="113" spans="1:27" x14ac:dyDescent="0.25">
      <c r="P113" s="33" t="s">
        <v>88</v>
      </c>
      <c r="Q113" s="33">
        <v>50</v>
      </c>
      <c r="R113" s="33">
        <v>57</v>
      </c>
      <c r="S113" s="33">
        <v>60</v>
      </c>
      <c r="U113" t="s">
        <v>287</v>
      </c>
      <c r="V113">
        <v>0.5</v>
      </c>
      <c r="W113">
        <v>3</v>
      </c>
      <c r="X113">
        <v>0.16666666666666666</v>
      </c>
    </row>
    <row r="114" spans="1:27" x14ac:dyDescent="0.25">
      <c r="P114" s="33" t="s">
        <v>90</v>
      </c>
      <c r="Q114" s="33">
        <v>54</v>
      </c>
      <c r="R114" s="33">
        <v>60</v>
      </c>
      <c r="S114" s="33">
        <v>64</v>
      </c>
    </row>
    <row r="115" spans="1:27" ht="15.75" thickBot="1" x14ac:dyDescent="0.3">
      <c r="U115" s="97" t="s">
        <v>278</v>
      </c>
      <c r="V115" s="97">
        <v>114</v>
      </c>
      <c r="W115" s="97">
        <v>7</v>
      </c>
      <c r="X115" s="97"/>
      <c r="Y115" s="97"/>
      <c r="Z115" s="97"/>
      <c r="AA115" s="97"/>
    </row>
    <row r="118" spans="1:27" ht="23.25" x14ac:dyDescent="0.35">
      <c r="P118" s="101" t="s">
        <v>280</v>
      </c>
      <c r="Q118" s="101"/>
      <c r="R118" s="99"/>
    </row>
    <row r="120" spans="1:27" ht="31.5" customHeight="1" x14ac:dyDescent="0.25">
      <c r="C120" s="95" t="s">
        <v>239</v>
      </c>
      <c r="P120" t="s">
        <v>262</v>
      </c>
      <c r="Q120" t="s">
        <v>292</v>
      </c>
      <c r="R120" t="s">
        <v>293</v>
      </c>
      <c r="S120" t="s">
        <v>294</v>
      </c>
      <c r="T120" t="s">
        <v>278</v>
      </c>
    </row>
    <row r="121" spans="1:27" ht="33" customHeight="1" thickBot="1" x14ac:dyDescent="0.3">
      <c r="A121" s="106" t="s">
        <v>240</v>
      </c>
      <c r="B121" s="106" t="s">
        <v>241</v>
      </c>
      <c r="C121" s="106" t="s">
        <v>242</v>
      </c>
      <c r="D121" s="106" t="s">
        <v>243</v>
      </c>
      <c r="E121" s="106" t="s">
        <v>244</v>
      </c>
      <c r="F121" s="106" t="s">
        <v>245</v>
      </c>
      <c r="G121" s="106" t="s">
        <v>246</v>
      </c>
      <c r="H121" s="106" t="s">
        <v>247</v>
      </c>
      <c r="I121" s="106" t="s">
        <v>248</v>
      </c>
      <c r="J121" s="106" t="s">
        <v>288</v>
      </c>
      <c r="K121" s="106" t="s">
        <v>289</v>
      </c>
      <c r="L121" s="106" t="s">
        <v>290</v>
      </c>
      <c r="M121" s="106" t="s">
        <v>267</v>
      </c>
      <c r="N121" s="106" t="s">
        <v>291</v>
      </c>
      <c r="P121" s="103" t="s">
        <v>85</v>
      </c>
      <c r="Q121" s="103"/>
      <c r="R121" s="103"/>
      <c r="S121" s="103"/>
      <c r="T121" s="103"/>
    </row>
    <row r="122" spans="1:27" x14ac:dyDescent="0.25">
      <c r="A122" s="33" t="s">
        <v>249</v>
      </c>
      <c r="B122" s="33" t="s">
        <v>250</v>
      </c>
      <c r="C122" s="105">
        <v>18</v>
      </c>
      <c r="D122" s="105">
        <v>92</v>
      </c>
      <c r="E122" s="105">
        <v>15</v>
      </c>
      <c r="F122" s="33">
        <v>85</v>
      </c>
      <c r="G122" s="33">
        <v>78</v>
      </c>
      <c r="H122" s="33">
        <v>80</v>
      </c>
      <c r="I122" s="33">
        <v>82</v>
      </c>
      <c r="J122" s="11">
        <f>AVERAGE(F122,G122,H122)</f>
        <v>81</v>
      </c>
      <c r="K122" s="11">
        <f>MEDIAN(I122:I131)</f>
        <v>82</v>
      </c>
      <c r="L122" s="11">
        <f>_xlfn.MODE.SNGL(H122:H131)</f>
        <v>80</v>
      </c>
      <c r="M122" s="11">
        <f>_xlfn.VAR.S(G122:G131,H122:H131)</f>
        <v>70.89473684210526</v>
      </c>
      <c r="N122" s="11">
        <f>_xlfn.STDEV.S(G122:G131,H122:H131)</f>
        <v>8.419901237075484</v>
      </c>
      <c r="P122" t="s">
        <v>264</v>
      </c>
      <c r="Q122">
        <v>4</v>
      </c>
      <c r="R122">
        <v>4</v>
      </c>
      <c r="S122">
        <v>4</v>
      </c>
      <c r="T122">
        <v>12</v>
      </c>
    </row>
    <row r="123" spans="1:27" x14ac:dyDescent="0.25">
      <c r="A123" s="33" t="s">
        <v>251</v>
      </c>
      <c r="B123" s="33" t="s">
        <v>252</v>
      </c>
      <c r="C123" s="105">
        <v>19</v>
      </c>
      <c r="D123" s="105">
        <v>88</v>
      </c>
      <c r="E123" s="105">
        <v>12</v>
      </c>
      <c r="F123" s="33">
        <v>79</v>
      </c>
      <c r="G123" s="33">
        <v>75</v>
      </c>
      <c r="H123" s="33">
        <v>80</v>
      </c>
      <c r="I123" s="33">
        <v>78</v>
      </c>
      <c r="J123" s="11">
        <f t="shared" ref="J123:J131" si="21">AVERAGE(F123,G123,H123)</f>
        <v>78</v>
      </c>
      <c r="K123" s="11"/>
      <c r="L123" s="11"/>
      <c r="M123" s="11"/>
      <c r="N123" s="11"/>
      <c r="P123" t="s">
        <v>265</v>
      </c>
      <c r="Q123">
        <v>211</v>
      </c>
      <c r="R123">
        <v>237</v>
      </c>
      <c r="S123">
        <v>250</v>
      </c>
      <c r="T123">
        <v>698</v>
      </c>
    </row>
    <row r="124" spans="1:27" x14ac:dyDescent="0.25">
      <c r="A124" s="33" t="s">
        <v>253</v>
      </c>
      <c r="B124" s="33" t="s">
        <v>250</v>
      </c>
      <c r="C124" s="105">
        <v>20</v>
      </c>
      <c r="D124" s="105">
        <v>95</v>
      </c>
      <c r="E124" s="105">
        <v>18</v>
      </c>
      <c r="F124" s="33">
        <v>90</v>
      </c>
      <c r="G124" s="33">
        <v>88</v>
      </c>
      <c r="H124" s="33">
        <v>92</v>
      </c>
      <c r="I124" s="33">
        <v>90</v>
      </c>
      <c r="J124" s="11">
        <f t="shared" si="21"/>
        <v>90</v>
      </c>
      <c r="K124" s="11"/>
      <c r="L124" s="11"/>
      <c r="M124" s="11"/>
      <c r="N124" s="11"/>
      <c r="P124" t="s">
        <v>266</v>
      </c>
      <c r="Q124">
        <v>52.75</v>
      </c>
      <c r="R124">
        <v>59.25</v>
      </c>
      <c r="S124">
        <v>62.5</v>
      </c>
      <c r="T124">
        <v>58.166666666666664</v>
      </c>
    </row>
    <row r="125" spans="1:27" x14ac:dyDescent="0.25">
      <c r="A125" s="33" t="s">
        <v>254</v>
      </c>
      <c r="B125" s="33" t="s">
        <v>252</v>
      </c>
      <c r="C125" s="105">
        <v>18</v>
      </c>
      <c r="D125" s="105">
        <v>85</v>
      </c>
      <c r="E125" s="105">
        <v>10</v>
      </c>
      <c r="F125" s="33">
        <v>75</v>
      </c>
      <c r="G125" s="33">
        <v>72</v>
      </c>
      <c r="H125" s="33">
        <v>74</v>
      </c>
      <c r="I125" s="33">
        <v>74</v>
      </c>
      <c r="J125" s="11">
        <f t="shared" si="21"/>
        <v>73.666666666666671</v>
      </c>
      <c r="K125" s="11"/>
      <c r="L125" s="11"/>
      <c r="M125" s="11"/>
      <c r="N125" s="11"/>
      <c r="P125" t="s">
        <v>267</v>
      </c>
      <c r="Q125">
        <v>4.916666666666667</v>
      </c>
      <c r="R125">
        <v>4.916666666666667</v>
      </c>
      <c r="S125">
        <v>5.666666666666667</v>
      </c>
      <c r="T125">
        <v>22.151515151515152</v>
      </c>
    </row>
    <row r="126" spans="1:27" x14ac:dyDescent="0.25">
      <c r="A126" s="33" t="s">
        <v>255</v>
      </c>
      <c r="B126" s="33" t="s">
        <v>250</v>
      </c>
      <c r="C126" s="105">
        <v>21</v>
      </c>
      <c r="D126" s="105">
        <v>97</v>
      </c>
      <c r="E126" s="105">
        <v>20</v>
      </c>
      <c r="F126" s="33">
        <v>95</v>
      </c>
      <c r="G126" s="33">
        <v>91</v>
      </c>
      <c r="H126" s="33">
        <v>94</v>
      </c>
      <c r="I126" s="33">
        <v>93</v>
      </c>
      <c r="J126" s="11">
        <f t="shared" si="21"/>
        <v>93.333333333333329</v>
      </c>
      <c r="K126" s="11"/>
      <c r="L126" s="11"/>
      <c r="M126" s="11"/>
      <c r="N126" s="11"/>
    </row>
    <row r="127" spans="1:27" ht="15.75" thickBot="1" x14ac:dyDescent="0.3">
      <c r="A127" s="33" t="s">
        <v>256</v>
      </c>
      <c r="B127" s="33" t="s">
        <v>252</v>
      </c>
      <c r="C127" s="105">
        <v>19</v>
      </c>
      <c r="D127" s="105">
        <v>90</v>
      </c>
      <c r="E127" s="105">
        <v>14</v>
      </c>
      <c r="F127" s="33">
        <v>82</v>
      </c>
      <c r="G127" s="33">
        <v>79</v>
      </c>
      <c r="H127" s="33">
        <v>84</v>
      </c>
      <c r="I127" s="33">
        <v>82</v>
      </c>
      <c r="J127" s="11">
        <f t="shared" si="21"/>
        <v>81.666666666666671</v>
      </c>
      <c r="K127" s="11"/>
      <c r="L127" s="11"/>
      <c r="M127" s="11"/>
      <c r="N127" s="11"/>
      <c r="P127" s="103" t="s">
        <v>278</v>
      </c>
      <c r="Q127" s="103"/>
      <c r="R127" s="103"/>
    </row>
    <row r="128" spans="1:27" x14ac:dyDescent="0.25">
      <c r="A128" s="33" t="s">
        <v>257</v>
      </c>
      <c r="B128" s="33" t="s">
        <v>250</v>
      </c>
      <c r="C128" s="105">
        <v>18</v>
      </c>
      <c r="D128" s="105">
        <v>78</v>
      </c>
      <c r="E128" s="105">
        <v>8</v>
      </c>
      <c r="F128" s="33">
        <v>68</v>
      </c>
      <c r="G128" s="33">
        <v>65</v>
      </c>
      <c r="H128" s="33">
        <v>70</v>
      </c>
      <c r="I128" s="33">
        <v>68</v>
      </c>
      <c r="J128" s="11">
        <f t="shared" si="21"/>
        <v>67.666666666666671</v>
      </c>
      <c r="K128" s="11"/>
      <c r="L128" s="11"/>
      <c r="M128" s="11"/>
      <c r="N128" s="11"/>
      <c r="P128" t="s">
        <v>264</v>
      </c>
      <c r="Q128">
        <v>4</v>
      </c>
      <c r="R128">
        <v>4</v>
      </c>
      <c r="S128">
        <v>4</v>
      </c>
    </row>
    <row r="129" spans="1:22" x14ac:dyDescent="0.25">
      <c r="A129" s="33" t="s">
        <v>258</v>
      </c>
      <c r="B129" s="33" t="s">
        <v>252</v>
      </c>
      <c r="C129" s="105">
        <v>20</v>
      </c>
      <c r="D129" s="105">
        <v>93</v>
      </c>
      <c r="E129" s="105">
        <v>16</v>
      </c>
      <c r="F129" s="33">
        <v>88</v>
      </c>
      <c r="G129" s="33">
        <v>85</v>
      </c>
      <c r="H129" s="33">
        <v>89</v>
      </c>
      <c r="I129" s="33">
        <v>87</v>
      </c>
      <c r="J129" s="11">
        <f t="shared" si="21"/>
        <v>87.333333333333329</v>
      </c>
      <c r="K129" s="11"/>
      <c r="L129" s="11"/>
      <c r="M129" s="11"/>
      <c r="N129" s="11"/>
      <c r="P129" t="s">
        <v>265</v>
      </c>
      <c r="Q129">
        <v>211</v>
      </c>
      <c r="R129">
        <v>237</v>
      </c>
      <c r="S129">
        <v>250</v>
      </c>
    </row>
    <row r="130" spans="1:22" x14ac:dyDescent="0.25">
      <c r="A130" s="33" t="s">
        <v>259</v>
      </c>
      <c r="B130" s="33" t="s">
        <v>250</v>
      </c>
      <c r="C130" s="105">
        <v>19</v>
      </c>
      <c r="D130" s="105">
        <v>87</v>
      </c>
      <c r="E130" s="105">
        <v>11</v>
      </c>
      <c r="F130" s="33">
        <v>76</v>
      </c>
      <c r="G130" s="33">
        <v>74</v>
      </c>
      <c r="H130" s="33">
        <v>78</v>
      </c>
      <c r="I130" s="33">
        <v>76</v>
      </c>
      <c r="J130" s="11">
        <f t="shared" si="21"/>
        <v>76</v>
      </c>
      <c r="K130" s="11"/>
      <c r="L130" s="11"/>
      <c r="M130" s="11"/>
      <c r="N130" s="11"/>
      <c r="P130" t="s">
        <v>266</v>
      </c>
      <c r="Q130">
        <v>52.75</v>
      </c>
      <c r="R130">
        <v>59.25</v>
      </c>
      <c r="S130">
        <v>62.5</v>
      </c>
    </row>
    <row r="131" spans="1:22" x14ac:dyDescent="0.25">
      <c r="A131" s="33" t="s">
        <v>260</v>
      </c>
      <c r="B131" s="33" t="s">
        <v>252</v>
      </c>
      <c r="C131" s="105">
        <v>21</v>
      </c>
      <c r="D131" s="105">
        <v>96</v>
      </c>
      <c r="E131" s="105">
        <v>19</v>
      </c>
      <c r="F131" s="33">
        <v>92</v>
      </c>
      <c r="G131" s="33">
        <v>89</v>
      </c>
      <c r="H131" s="33">
        <v>93</v>
      </c>
      <c r="I131" s="33">
        <v>91</v>
      </c>
      <c r="J131" s="11">
        <f t="shared" si="21"/>
        <v>91.333333333333329</v>
      </c>
      <c r="K131" s="11"/>
      <c r="L131" s="11"/>
      <c r="M131" s="11"/>
      <c r="N131" s="11"/>
      <c r="P131" t="s">
        <v>267</v>
      </c>
      <c r="Q131">
        <v>4.916666666666667</v>
      </c>
      <c r="R131">
        <v>4.916666666666667</v>
      </c>
      <c r="S131">
        <v>5.666666666666667</v>
      </c>
    </row>
    <row r="132" spans="1:22" x14ac:dyDescent="0.25">
      <c r="A132" s="65"/>
      <c r="B132" s="65"/>
      <c r="C132" s="96"/>
      <c r="D132" s="96"/>
      <c r="E132" s="96"/>
    </row>
    <row r="133" spans="1:22" x14ac:dyDescent="0.25">
      <c r="A133" s="65"/>
      <c r="B133" s="65"/>
      <c r="C133" s="96"/>
      <c r="D133" s="96"/>
      <c r="E133" s="96"/>
    </row>
    <row r="134" spans="1:22" ht="27.75" customHeight="1" thickBot="1" x14ac:dyDescent="0.4">
      <c r="A134" s="65"/>
      <c r="B134" s="101" t="s">
        <v>261</v>
      </c>
      <c r="C134" s="101"/>
      <c r="J134" s="100" t="s">
        <v>285</v>
      </c>
      <c r="K134" s="100"/>
      <c r="L134" s="100"/>
      <c r="M134" s="99"/>
      <c r="P134" t="s">
        <v>268</v>
      </c>
    </row>
    <row r="135" spans="1:22" ht="15.75" thickBot="1" x14ac:dyDescent="0.3">
      <c r="A135" s="65"/>
      <c r="P135" s="98" t="s">
        <v>269</v>
      </c>
      <c r="Q135" s="98" t="s">
        <v>270</v>
      </c>
      <c r="R135" s="98" t="s">
        <v>271</v>
      </c>
      <c r="S135" s="98" t="s">
        <v>272</v>
      </c>
      <c r="T135" s="98" t="s">
        <v>273</v>
      </c>
      <c r="U135" s="98" t="s">
        <v>274</v>
      </c>
      <c r="V135" s="98" t="s">
        <v>275</v>
      </c>
    </row>
    <row r="136" spans="1:22" ht="15.75" thickBot="1" x14ac:dyDescent="0.3">
      <c r="A136" s="65"/>
      <c r="B136" t="s">
        <v>262</v>
      </c>
      <c r="J136" s="98" t="s">
        <v>262</v>
      </c>
      <c r="K136" s="98" t="s">
        <v>264</v>
      </c>
      <c r="L136" s="98" t="s">
        <v>265</v>
      </c>
      <c r="M136" s="98" t="s">
        <v>266</v>
      </c>
      <c r="N136" s="98" t="s">
        <v>267</v>
      </c>
      <c r="P136" t="s">
        <v>281</v>
      </c>
      <c r="Q136">
        <v>0</v>
      </c>
      <c r="R136">
        <v>0</v>
      </c>
      <c r="S136">
        <v>65535</v>
      </c>
      <c r="T136">
        <v>65535</v>
      </c>
      <c r="U136" t="e">
        <v>#NUM!</v>
      </c>
      <c r="V136" t="e">
        <v>#NUM!</v>
      </c>
    </row>
    <row r="137" spans="1:22" x14ac:dyDescent="0.25">
      <c r="A137" s="65"/>
      <c r="B137" s="98" t="s">
        <v>263</v>
      </c>
      <c r="C137" s="98" t="s">
        <v>264</v>
      </c>
      <c r="D137" s="98" t="s">
        <v>265</v>
      </c>
      <c r="E137" s="98" t="s">
        <v>266</v>
      </c>
      <c r="F137" s="98" t="s">
        <v>267</v>
      </c>
      <c r="J137">
        <v>78</v>
      </c>
      <c r="K137">
        <v>2</v>
      </c>
      <c r="L137">
        <v>164</v>
      </c>
      <c r="M137">
        <v>82</v>
      </c>
      <c r="N137">
        <v>0</v>
      </c>
      <c r="P137" t="s">
        <v>282</v>
      </c>
      <c r="Q137">
        <v>197.16666666666666</v>
      </c>
      <c r="R137">
        <v>2</v>
      </c>
      <c r="S137">
        <v>98.583333333333329</v>
      </c>
      <c r="T137">
        <v>19.08064516129032</v>
      </c>
      <c r="U137">
        <v>5.7936964569970718E-4</v>
      </c>
      <c r="V137">
        <v>4.2564947290937507</v>
      </c>
    </row>
    <row r="138" spans="1:22" x14ac:dyDescent="0.25">
      <c r="B138" t="s">
        <v>242</v>
      </c>
      <c r="C138">
        <v>10</v>
      </c>
      <c r="D138">
        <v>193</v>
      </c>
      <c r="E138">
        <v>19.3</v>
      </c>
      <c r="F138">
        <v>1.3444444444444443</v>
      </c>
      <c r="J138">
        <v>75</v>
      </c>
      <c r="K138">
        <v>2</v>
      </c>
      <c r="L138">
        <v>158</v>
      </c>
      <c r="M138">
        <v>79</v>
      </c>
      <c r="N138">
        <v>2</v>
      </c>
      <c r="P138" t="s">
        <v>283</v>
      </c>
      <c r="Q138">
        <v>0</v>
      </c>
      <c r="R138">
        <v>0</v>
      </c>
      <c r="S138">
        <v>65535</v>
      </c>
      <c r="T138">
        <v>65535</v>
      </c>
      <c r="U138" t="e">
        <v>#NUM!</v>
      </c>
      <c r="V138" t="e">
        <v>#NUM!</v>
      </c>
    </row>
    <row r="139" spans="1:22" ht="15.75" thickBot="1" x14ac:dyDescent="0.3">
      <c r="B139" s="97" t="s">
        <v>243</v>
      </c>
      <c r="C139" s="97">
        <v>10</v>
      </c>
      <c r="D139" s="97">
        <v>901</v>
      </c>
      <c r="E139" s="97">
        <v>90.1</v>
      </c>
      <c r="F139" s="97">
        <v>33.877777777777773</v>
      </c>
      <c r="J139">
        <v>88</v>
      </c>
      <c r="K139">
        <v>2</v>
      </c>
      <c r="L139">
        <v>182</v>
      </c>
      <c r="M139">
        <v>91</v>
      </c>
      <c r="N139">
        <v>2</v>
      </c>
      <c r="P139" t="s">
        <v>284</v>
      </c>
      <c r="Q139">
        <v>46.5</v>
      </c>
      <c r="R139">
        <v>9</v>
      </c>
      <c r="S139">
        <v>5.166666666666667</v>
      </c>
    </row>
    <row r="140" spans="1:22" x14ac:dyDescent="0.25">
      <c r="J140">
        <v>72</v>
      </c>
      <c r="K140">
        <v>2</v>
      </c>
      <c r="L140">
        <v>148</v>
      </c>
      <c r="M140">
        <v>74</v>
      </c>
      <c r="N140">
        <v>0</v>
      </c>
    </row>
    <row r="141" spans="1:22" ht="15.75" thickBot="1" x14ac:dyDescent="0.3">
      <c r="J141">
        <v>91</v>
      </c>
      <c r="K141">
        <v>2</v>
      </c>
      <c r="L141">
        <v>187</v>
      </c>
      <c r="M141">
        <v>93.5</v>
      </c>
      <c r="N141">
        <v>0.5</v>
      </c>
      <c r="P141" s="97" t="s">
        <v>278</v>
      </c>
      <c r="Q141" s="97">
        <v>243.66666666666666</v>
      </c>
      <c r="R141" s="97">
        <v>11</v>
      </c>
      <c r="S141" s="97"/>
      <c r="T141" s="97"/>
      <c r="U141" s="97"/>
      <c r="V141" s="97"/>
    </row>
    <row r="142" spans="1:22" ht="15.75" thickBot="1" x14ac:dyDescent="0.3">
      <c r="B142" t="s">
        <v>268</v>
      </c>
      <c r="J142">
        <v>79</v>
      </c>
      <c r="K142">
        <v>2</v>
      </c>
      <c r="L142">
        <v>166</v>
      </c>
      <c r="M142">
        <v>83</v>
      </c>
      <c r="N142">
        <v>2</v>
      </c>
    </row>
    <row r="143" spans="1:22" x14ac:dyDescent="0.25">
      <c r="B143" s="98" t="s">
        <v>269</v>
      </c>
      <c r="C143" s="98" t="s">
        <v>270</v>
      </c>
      <c r="D143" s="98" t="s">
        <v>271</v>
      </c>
      <c r="E143" s="98" t="s">
        <v>272</v>
      </c>
      <c r="F143" s="98" t="s">
        <v>273</v>
      </c>
      <c r="G143" s="98" t="s">
        <v>274</v>
      </c>
      <c r="H143" s="98" t="s">
        <v>275</v>
      </c>
      <c r="J143">
        <v>65</v>
      </c>
      <c r="K143">
        <v>2</v>
      </c>
      <c r="L143">
        <v>138</v>
      </c>
      <c r="M143">
        <v>69</v>
      </c>
      <c r="N143">
        <v>2</v>
      </c>
    </row>
    <row r="144" spans="1:22" x14ac:dyDescent="0.25">
      <c r="B144" t="s">
        <v>276</v>
      </c>
      <c r="C144">
        <v>25063.199999999997</v>
      </c>
      <c r="D144">
        <v>1</v>
      </c>
      <c r="E144">
        <v>25063.199999999997</v>
      </c>
      <c r="F144">
        <v>1423.1470031545739</v>
      </c>
      <c r="G144">
        <v>1.3797742301933769E-18</v>
      </c>
      <c r="H144">
        <v>4.4138734191705664</v>
      </c>
      <c r="J144">
        <v>85</v>
      </c>
      <c r="K144">
        <v>2</v>
      </c>
      <c r="L144">
        <v>176</v>
      </c>
      <c r="M144">
        <v>88</v>
      </c>
      <c r="N144">
        <v>2</v>
      </c>
    </row>
    <row r="145" spans="2:16" x14ac:dyDescent="0.25">
      <c r="B145" t="s">
        <v>277</v>
      </c>
      <c r="C145">
        <v>317</v>
      </c>
      <c r="D145">
        <v>18</v>
      </c>
      <c r="E145">
        <v>17.611111111111111</v>
      </c>
      <c r="J145">
        <v>74</v>
      </c>
      <c r="K145">
        <v>2</v>
      </c>
      <c r="L145">
        <v>154</v>
      </c>
      <c r="M145">
        <v>77</v>
      </c>
      <c r="N145">
        <v>2</v>
      </c>
    </row>
    <row r="146" spans="2:16" x14ac:dyDescent="0.25">
      <c r="J146">
        <v>89</v>
      </c>
      <c r="K146">
        <v>2</v>
      </c>
      <c r="L146">
        <v>184</v>
      </c>
      <c r="M146">
        <v>92</v>
      </c>
      <c r="N146">
        <v>2</v>
      </c>
    </row>
    <row r="147" spans="2:16" ht="15.75" thickBot="1" x14ac:dyDescent="0.3">
      <c r="B147" s="97" t="s">
        <v>278</v>
      </c>
      <c r="C147" s="97">
        <v>25380.199999999997</v>
      </c>
      <c r="D147" s="97">
        <v>19</v>
      </c>
      <c r="E147" s="97"/>
      <c r="F147" s="97"/>
      <c r="G147" s="97"/>
      <c r="H147" s="97"/>
    </row>
    <row r="148" spans="2:16" x14ac:dyDescent="0.25">
      <c r="J148" t="s">
        <v>247</v>
      </c>
      <c r="K148">
        <v>10</v>
      </c>
      <c r="L148">
        <v>836</v>
      </c>
      <c r="M148">
        <v>83.6</v>
      </c>
      <c r="N148">
        <v>68.933333333333337</v>
      </c>
    </row>
    <row r="149" spans="2:16" ht="15.75" thickBot="1" x14ac:dyDescent="0.3">
      <c r="J149" s="97" t="s">
        <v>248</v>
      </c>
      <c r="K149" s="97">
        <v>10</v>
      </c>
      <c r="L149" s="97">
        <v>821</v>
      </c>
      <c r="M149" s="97">
        <v>82.1</v>
      </c>
      <c r="N149" s="97">
        <v>66.988888888888894</v>
      </c>
    </row>
    <row r="150" spans="2:16" ht="21" x14ac:dyDescent="0.35">
      <c r="B150" s="100" t="s">
        <v>280</v>
      </c>
      <c r="C150" s="99"/>
    </row>
    <row r="152" spans="2:16" ht="15.75" thickBot="1" x14ac:dyDescent="0.3">
      <c r="B152" t="s">
        <v>262</v>
      </c>
      <c r="C152" t="s">
        <v>245</v>
      </c>
      <c r="D152" t="s">
        <v>246</v>
      </c>
      <c r="E152" t="s">
        <v>278</v>
      </c>
      <c r="J152" t="s">
        <v>268</v>
      </c>
    </row>
    <row r="153" spans="2:16" ht="15.75" thickBot="1" x14ac:dyDescent="0.3">
      <c r="B153" s="103">
        <v>15</v>
      </c>
      <c r="C153" s="103"/>
      <c r="D153" s="103"/>
      <c r="E153" s="103"/>
      <c r="J153" s="98" t="s">
        <v>269</v>
      </c>
      <c r="K153" s="98" t="s">
        <v>270</v>
      </c>
      <c r="L153" s="98" t="s">
        <v>271</v>
      </c>
      <c r="M153" s="98" t="s">
        <v>272</v>
      </c>
      <c r="N153" s="98" t="s">
        <v>273</v>
      </c>
      <c r="O153" s="98" t="s">
        <v>274</v>
      </c>
      <c r="P153" s="98" t="s">
        <v>275</v>
      </c>
    </row>
    <row r="154" spans="2:16" x14ac:dyDescent="0.25">
      <c r="B154" t="s">
        <v>264</v>
      </c>
      <c r="C154">
        <v>10</v>
      </c>
      <c r="D154">
        <v>10</v>
      </c>
      <c r="E154">
        <v>20</v>
      </c>
      <c r="J154" t="s">
        <v>286</v>
      </c>
      <c r="K154">
        <v>1220.05</v>
      </c>
      <c r="L154">
        <v>9</v>
      </c>
      <c r="M154">
        <v>135.5611111111111</v>
      </c>
      <c r="N154">
        <v>375.39999999997372</v>
      </c>
      <c r="O154">
        <v>1.6876751453004232E-10</v>
      </c>
      <c r="P154">
        <v>3.17889310445827</v>
      </c>
    </row>
    <row r="155" spans="2:16" x14ac:dyDescent="0.25">
      <c r="B155" t="s">
        <v>265</v>
      </c>
      <c r="C155">
        <v>830</v>
      </c>
      <c r="D155">
        <v>796</v>
      </c>
      <c r="E155">
        <v>1626</v>
      </c>
      <c r="J155" t="s">
        <v>282</v>
      </c>
      <c r="K155">
        <v>11.249999999999773</v>
      </c>
      <c r="L155">
        <v>1</v>
      </c>
      <c r="M155">
        <v>11.249999999999773</v>
      </c>
      <c r="N155">
        <v>31.153846153843347</v>
      </c>
      <c r="O155">
        <v>3.422639983648927E-4</v>
      </c>
      <c r="P155">
        <v>5.1173550291992269</v>
      </c>
    </row>
    <row r="156" spans="2:16" x14ac:dyDescent="0.25">
      <c r="B156" t="s">
        <v>266</v>
      </c>
      <c r="C156">
        <v>83</v>
      </c>
      <c r="D156">
        <v>79.599999999999994</v>
      </c>
      <c r="E156">
        <v>81.3</v>
      </c>
      <c r="J156" t="s">
        <v>287</v>
      </c>
      <c r="K156">
        <v>3.2500000000002274</v>
      </c>
      <c r="L156">
        <v>9</v>
      </c>
      <c r="M156">
        <v>0.36111111111113636</v>
      </c>
    </row>
    <row r="157" spans="2:16" x14ac:dyDescent="0.25">
      <c r="B157" t="s">
        <v>267</v>
      </c>
      <c r="C157">
        <v>73.111111111111114</v>
      </c>
      <c r="D157">
        <v>71.600000000000165</v>
      </c>
      <c r="E157">
        <v>71.589473684211143</v>
      </c>
    </row>
    <row r="158" spans="2:16" ht="15.75" thickBot="1" x14ac:dyDescent="0.3">
      <c r="J158" s="97" t="s">
        <v>278</v>
      </c>
      <c r="K158" s="97">
        <v>1234.55</v>
      </c>
      <c r="L158" s="97">
        <v>19</v>
      </c>
      <c r="M158" s="97"/>
      <c r="N158" s="97"/>
      <c r="O158" s="97"/>
      <c r="P158" s="97"/>
    </row>
    <row r="159" spans="2:16" ht="15.75" thickBot="1" x14ac:dyDescent="0.3">
      <c r="B159" s="103" t="s">
        <v>278</v>
      </c>
      <c r="C159" s="103"/>
      <c r="D159" s="103"/>
    </row>
    <row r="160" spans="2:16" x14ac:dyDescent="0.25">
      <c r="B160" t="s">
        <v>264</v>
      </c>
      <c r="C160">
        <v>10</v>
      </c>
      <c r="D160">
        <v>10</v>
      </c>
    </row>
    <row r="161" spans="2:13" x14ac:dyDescent="0.25">
      <c r="B161" t="s">
        <v>265</v>
      </c>
      <c r="C161">
        <v>830</v>
      </c>
      <c r="D161">
        <v>796</v>
      </c>
    </row>
    <row r="162" spans="2:13" ht="21" x14ac:dyDescent="0.25">
      <c r="B162" t="s">
        <v>266</v>
      </c>
      <c r="C162">
        <v>83</v>
      </c>
      <c r="D162">
        <v>79.599999999999994</v>
      </c>
      <c r="L162" s="102" t="s">
        <v>279</v>
      </c>
    </row>
    <row r="163" spans="2:13" ht="15.75" thickBot="1" x14ac:dyDescent="0.3">
      <c r="B163" t="s">
        <v>267</v>
      </c>
      <c r="C163">
        <v>73.111111111111114</v>
      </c>
      <c r="D163">
        <v>71.600000000000165</v>
      </c>
    </row>
    <row r="164" spans="2:13" x14ac:dyDescent="0.25">
      <c r="K164" s="98"/>
      <c r="L164" s="98" t="s">
        <v>242</v>
      </c>
      <c r="M164" s="98" t="s">
        <v>243</v>
      </c>
    </row>
    <row r="165" spans="2:13" x14ac:dyDescent="0.25">
      <c r="K165" t="s">
        <v>242</v>
      </c>
      <c r="L165">
        <v>1</v>
      </c>
    </row>
    <row r="166" spans="2:13" ht="15.75" thickBot="1" x14ac:dyDescent="0.3">
      <c r="B166" t="s">
        <v>268</v>
      </c>
      <c r="K166" s="97" t="s">
        <v>243</v>
      </c>
      <c r="L166" s="97">
        <v>0.80178432942420952</v>
      </c>
      <c r="M166" s="97">
        <v>1</v>
      </c>
    </row>
    <row r="167" spans="2:13" x14ac:dyDescent="0.25">
      <c r="B167" s="98" t="s">
        <v>269</v>
      </c>
      <c r="C167" s="98" t="s">
        <v>270</v>
      </c>
      <c r="D167" s="98" t="s">
        <v>271</v>
      </c>
      <c r="E167" s="98" t="s">
        <v>272</v>
      </c>
      <c r="F167" s="98" t="s">
        <v>273</v>
      </c>
      <c r="G167" s="98" t="s">
        <v>274</v>
      </c>
      <c r="H167" s="98" t="s">
        <v>275</v>
      </c>
    </row>
    <row r="168" spans="2:13" x14ac:dyDescent="0.25">
      <c r="B168" t="s">
        <v>281</v>
      </c>
      <c r="C168">
        <v>0</v>
      </c>
      <c r="D168">
        <v>0</v>
      </c>
      <c r="E168">
        <v>65535</v>
      </c>
      <c r="F168">
        <v>65535</v>
      </c>
      <c r="G168" t="e">
        <v>#NUM!</v>
      </c>
      <c r="H168" t="e">
        <v>#NUM!</v>
      </c>
    </row>
    <row r="169" spans="2:13" ht="15.75" thickBot="1" x14ac:dyDescent="0.3">
      <c r="B169" t="s">
        <v>282</v>
      </c>
      <c r="C169">
        <v>57.799999999999727</v>
      </c>
      <c r="D169">
        <v>1</v>
      </c>
      <c r="E169">
        <v>57.799999999999727</v>
      </c>
      <c r="F169">
        <v>0.79883292383292004</v>
      </c>
      <c r="G169">
        <v>0.38323744182773412</v>
      </c>
      <c r="H169">
        <v>4.4138734191705664</v>
      </c>
    </row>
    <row r="170" spans="2:13" x14ac:dyDescent="0.25">
      <c r="B170" t="s">
        <v>283</v>
      </c>
      <c r="C170">
        <v>0</v>
      </c>
      <c r="D170">
        <v>0</v>
      </c>
      <c r="E170">
        <v>65535</v>
      </c>
      <c r="F170">
        <v>65535</v>
      </c>
      <c r="G170" t="e">
        <v>#NUM!</v>
      </c>
      <c r="H170" t="e">
        <v>#NUM!</v>
      </c>
      <c r="K170" s="98"/>
      <c r="L170" s="98" t="s">
        <v>246</v>
      </c>
      <c r="M170" s="98" t="s">
        <v>247</v>
      </c>
    </row>
    <row r="171" spans="2:13" x14ac:dyDescent="0.25">
      <c r="B171" t="s">
        <v>284</v>
      </c>
      <c r="C171">
        <v>1302.4000000000001</v>
      </c>
      <c r="D171">
        <v>18</v>
      </c>
      <c r="E171">
        <v>72.355555555555554</v>
      </c>
      <c r="K171" t="s">
        <v>246</v>
      </c>
      <c r="L171">
        <v>1</v>
      </c>
    </row>
    <row r="173" spans="2:13" ht="15.75" thickBot="1" x14ac:dyDescent="0.3">
      <c r="B173" s="97" t="s">
        <v>278</v>
      </c>
      <c r="C173" s="97">
        <v>1360.1999999999998</v>
      </c>
      <c r="D173" s="97">
        <v>19</v>
      </c>
      <c r="E173" s="97"/>
      <c r="F173" s="97"/>
      <c r="G173" s="97"/>
      <c r="H173" s="97"/>
    </row>
  </sheetData>
  <phoneticPr fontId="20" type="noConversion"/>
  <conditionalFormatting sqref="D82:D101">
    <cfRule type="containsText" dxfId="27" priority="17" operator="containsText" text="Mark">
      <formula>NOT(ISERROR(SEARCH("Mark",D82)))</formula>
    </cfRule>
  </conditionalFormatting>
  <conditionalFormatting sqref="F82:F10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{AD3FB1C0-7D68-4490-BBB3-3D801844459F}</x14:id>
        </ext>
      </extLst>
    </cfRule>
  </conditionalFormatting>
  <conditionalFormatting sqref="G82:G101">
    <cfRule type="cellIs" dxfId="26" priority="3" operator="equal">
      <formula>45371</formula>
    </cfRule>
  </conditionalFormatting>
  <conditionalFormatting sqref="H82:H101">
    <cfRule type="cellIs" dxfId="25" priority="21" operator="lessThan">
      <formula>0.5</formula>
    </cfRule>
    <cfRule type="cellIs" dxfId="24" priority="22" operator="between">
      <formula>0.5</formula>
      <formula>0.75</formula>
    </cfRule>
    <cfRule type="cellIs" dxfId="23" priority="23" operator="greaterThan">
      <formula>0.75</formula>
    </cfRule>
  </conditionalFormatting>
  <conditionalFormatting sqref="I82:I101">
    <cfRule type="top10" dxfId="22" priority="15" rank="10"/>
    <cfRule type="top10" dxfId="21" priority="16" rank="10"/>
  </conditionalFormatting>
  <conditionalFormatting sqref="I122:I131">
    <cfRule type="cellIs" dxfId="20" priority="1" operator="lessThan">
      <formula>85</formula>
    </cfRule>
    <cfRule type="cellIs" dxfId="19" priority="2" operator="greaterThan">
      <formula>85</formula>
    </cfRule>
  </conditionalFormatting>
  <conditionalFormatting sqref="K82:K101">
    <cfRule type="iconSet" priority="10">
      <iconSet iconSet="3Symbols2">
        <cfvo type="percent" val="0"/>
        <cfvo type="percent" val="33"/>
        <cfvo type="percent" val="67"/>
      </iconSet>
    </cfRule>
    <cfRule type="containsText" dxfId="18" priority="11" operator="containsText" text="not done">
      <formula>NOT(ISERROR(SEARCH("not done",K82)))</formula>
    </cfRule>
  </conditionalFormatting>
  <conditionalFormatting sqref="N82:N92">
    <cfRule type="cellIs" dxfId="17" priority="5" operator="greaterThan">
      <formula>0</formula>
    </cfRule>
    <cfRule type="cellIs" dxfId="16" priority="6" operator="lessThan">
      <formula>0</formula>
    </cfRule>
    <cfRule type="cellIs" dxfId="15" priority="7" operator="lessThan">
      <formula>0</formula>
    </cfRule>
    <cfRule type="cellIs" dxfId="14" priority="8" operator="lessThan">
      <formula>0</formula>
    </cfRule>
  </conditionalFormatting>
  <pageMargins left="0.7" right="0.7" top="0.75" bottom="0.75" header="0.3" footer="0.3"/>
  <pageSetup orientation="portrait" r:id="rId1"/>
  <drawing r:id="rId2"/>
  <tableParts count="4"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3FB1C0-7D68-4490-BBB3-3D801844459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F82:F101</xm:sqref>
        </x14:conditionalFormatting>
        <x14:conditionalFormatting xmlns:xm="http://schemas.microsoft.com/office/excel/2006/main">
          <x14:cfRule type="iconSet" priority="19" id="{BFEF6970-3BE4-4DC6-AC80-9319FC17B26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I81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9C2E-3963-4442-A03F-1E70C04AC9E9}">
  <dimension ref="A1:AE176"/>
  <sheetViews>
    <sheetView tabSelected="1" topLeftCell="J130" zoomScaleNormal="100" workbookViewId="0">
      <selection activeCell="AA180" sqref="AA180"/>
    </sheetView>
  </sheetViews>
  <sheetFormatPr defaultRowHeight="15" x14ac:dyDescent="0.25"/>
  <cols>
    <col min="2" max="2" width="16.28515625" customWidth="1"/>
    <col min="3" max="3" width="17.140625" customWidth="1"/>
    <col min="4" max="4" width="16.85546875" customWidth="1"/>
    <col min="5" max="5" width="24.140625" customWidth="1"/>
    <col min="6" max="6" width="19.5703125" customWidth="1"/>
    <col min="7" max="7" width="12" customWidth="1"/>
    <col min="9" max="9" width="12.85546875" customWidth="1"/>
    <col min="11" max="11" width="12.28515625" customWidth="1"/>
    <col min="12" max="12" width="15" customWidth="1"/>
    <col min="13" max="13" width="12.7109375" customWidth="1"/>
    <col min="16" max="16" width="13.140625" customWidth="1"/>
    <col min="17" max="17" width="13.85546875" customWidth="1"/>
    <col min="18" max="18" width="17.7109375" customWidth="1"/>
    <col min="20" max="20" width="14.5703125" customWidth="1"/>
    <col min="22" max="22" width="11.85546875" customWidth="1"/>
    <col min="23" max="23" width="17.140625" customWidth="1"/>
    <col min="24" max="24" width="16.140625" customWidth="1"/>
  </cols>
  <sheetData>
    <row r="1" spans="1:24" ht="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53</v>
      </c>
      <c r="R1" s="1"/>
      <c r="S1" s="50" t="s">
        <v>54</v>
      </c>
      <c r="V1" s="50" t="s">
        <v>62</v>
      </c>
    </row>
    <row r="2" spans="1:24" x14ac:dyDescent="0.25">
      <c r="A2" t="s">
        <v>33</v>
      </c>
      <c r="B2" t="s">
        <v>14</v>
      </c>
      <c r="C2">
        <v>2015</v>
      </c>
      <c r="D2">
        <v>11.1</v>
      </c>
      <c r="E2">
        <v>13</v>
      </c>
      <c r="F2">
        <v>105.824</v>
      </c>
      <c r="G2">
        <v>27.8</v>
      </c>
      <c r="H2">
        <v>76.5</v>
      </c>
      <c r="I2" s="24">
        <f t="shared" ref="I2:I40" si="0">ROUND(F2,2)</f>
        <v>105.82</v>
      </c>
      <c r="J2" s="24">
        <f t="shared" ref="J2:J40" si="1">SQRT(E2)</f>
        <v>3.6055512754639891</v>
      </c>
      <c r="K2" s="24" t="str">
        <f t="shared" ref="K2:K40" si="2">LEFT(A2,3)</f>
        <v>Afr</v>
      </c>
      <c r="L2" s="24" t="str">
        <f t="shared" ref="L2:L40" si="3">RIGHT(B2,3)</f>
        <v>ast</v>
      </c>
      <c r="M2" s="24">
        <f>RANK(G2,G2:G40,1)</f>
        <v>33</v>
      </c>
      <c r="N2" s="24">
        <f>LEN(A2)</f>
        <v>6</v>
      </c>
      <c r="O2" s="24">
        <f>ROUND(SQRT(J2),1)</f>
        <v>1.9</v>
      </c>
      <c r="S2" s="2" t="s">
        <v>55</v>
      </c>
      <c r="T2" s="5">
        <f ca="1">TODAY()</f>
        <v>46179</v>
      </c>
      <c r="V2" s="25"/>
      <c r="W2" s="26" t="s">
        <v>65</v>
      </c>
      <c r="X2" s="26" t="s">
        <v>63</v>
      </c>
    </row>
    <row r="3" spans="1:24" x14ac:dyDescent="0.25">
      <c r="A3" t="s">
        <v>16</v>
      </c>
      <c r="B3" t="s">
        <v>15</v>
      </c>
      <c r="C3">
        <v>2015</v>
      </c>
      <c r="D3">
        <v>2.7</v>
      </c>
      <c r="E3">
        <v>3.3</v>
      </c>
      <c r="F3">
        <v>57.902500000000003</v>
      </c>
      <c r="G3">
        <v>26</v>
      </c>
      <c r="H3">
        <v>82.8</v>
      </c>
      <c r="I3" s="24">
        <f t="shared" si="0"/>
        <v>57.9</v>
      </c>
      <c r="J3" s="24">
        <f t="shared" si="1"/>
        <v>1.8165902124584949</v>
      </c>
      <c r="K3" s="24" t="str">
        <f t="shared" si="2"/>
        <v>Asi</v>
      </c>
      <c r="L3" s="24" t="str">
        <f t="shared" si="3"/>
        <v>ion</v>
      </c>
      <c r="M3" s="24">
        <f t="shared" ref="M3:M40" si="4">RANK(G3,G3:G41,1)</f>
        <v>21</v>
      </c>
      <c r="N3" s="24">
        <f t="shared" ref="N3:N40" si="5">LEN(A3)</f>
        <v>4</v>
      </c>
      <c r="O3" s="24">
        <f t="shared" ref="O3:O40" si="6">ROUND(SQRT(E3),1)</f>
        <v>1.8</v>
      </c>
      <c r="P3" t="s">
        <v>18</v>
      </c>
      <c r="Q3" s="9">
        <f>MIN(F:F)</f>
        <v>0.79883292383292004</v>
      </c>
      <c r="S3" s="2" t="s">
        <v>56</v>
      </c>
      <c r="T3" s="5">
        <f ca="1">EOMONTH(TODAY(),4)</f>
        <v>46326</v>
      </c>
      <c r="V3" s="11" t="s">
        <v>33</v>
      </c>
      <c r="W3" s="11" cm="1">
        <f t="array" ref="W3:W13">FIND("i",V3:V13,1)</f>
        <v>4</v>
      </c>
      <c r="X3" s="11" t="str" cm="1">
        <f t="array" ref="X3:X13">REPLACE(V3:V13,2,3,"abc")</f>
        <v>Aabcca</v>
      </c>
    </row>
    <row r="4" spans="1:24" x14ac:dyDescent="0.25">
      <c r="A4" t="s">
        <v>33</v>
      </c>
      <c r="B4" t="s">
        <v>16</v>
      </c>
      <c r="C4">
        <v>2007</v>
      </c>
      <c r="D4">
        <v>51.5</v>
      </c>
      <c r="E4">
        <v>67.900000000000006</v>
      </c>
      <c r="F4">
        <v>201.07650000000001</v>
      </c>
      <c r="G4">
        <v>21.2</v>
      </c>
      <c r="H4">
        <v>65.400000000000006</v>
      </c>
      <c r="I4" s="24">
        <f t="shared" si="0"/>
        <v>201.08</v>
      </c>
      <c r="J4" s="24">
        <f t="shared" si="1"/>
        <v>8.2401456297810665</v>
      </c>
      <c r="K4" s="24" t="str">
        <f t="shared" si="2"/>
        <v>Afr</v>
      </c>
      <c r="L4" s="24" t="str">
        <f t="shared" si="3"/>
        <v>sia</v>
      </c>
      <c r="M4" s="24">
        <f t="shared" si="4"/>
        <v>3</v>
      </c>
      <c r="N4" s="24">
        <f t="shared" si="5"/>
        <v>6</v>
      </c>
      <c r="O4" s="24">
        <f t="shared" si="6"/>
        <v>8.1999999999999993</v>
      </c>
      <c r="P4" t="s">
        <v>19</v>
      </c>
      <c r="Q4" s="9">
        <f>MAX(F:F)</f>
        <v>789523224</v>
      </c>
      <c r="S4" s="2" t="s">
        <v>57</v>
      </c>
      <c r="T4" s="4">
        <f ca="1">NETWORKDAYS(TODAY()+2,TODAY()+5)</f>
        <v>4</v>
      </c>
      <c r="V4" s="11" t="s">
        <v>16</v>
      </c>
      <c r="W4" s="11">
        <v>3</v>
      </c>
      <c r="X4" s="11" t="str">
        <v>Aabc</v>
      </c>
    </row>
    <row r="5" spans="1:24" x14ac:dyDescent="0.25">
      <c r="A5" t="s">
        <v>33</v>
      </c>
      <c r="B5" t="s">
        <v>17</v>
      </c>
      <c r="C5">
        <v>2006</v>
      </c>
      <c r="D5">
        <v>32.799999999999997</v>
      </c>
      <c r="E5">
        <v>40.5</v>
      </c>
      <c r="F5">
        <v>222.19649999999999</v>
      </c>
      <c r="G5">
        <v>25.3</v>
      </c>
      <c r="H5">
        <v>67</v>
      </c>
      <c r="I5" s="24">
        <f t="shared" si="0"/>
        <v>222.2</v>
      </c>
      <c r="J5" s="24">
        <f t="shared" si="1"/>
        <v>6.3639610306789276</v>
      </c>
      <c r="K5" s="24" t="str">
        <f t="shared" si="2"/>
        <v>Afr</v>
      </c>
      <c r="L5" s="24" t="str">
        <f t="shared" si="3"/>
        <v>ica</v>
      </c>
      <c r="M5" s="24">
        <f t="shared" si="4"/>
        <v>14</v>
      </c>
      <c r="N5" s="24">
        <f t="shared" si="5"/>
        <v>6</v>
      </c>
      <c r="O5" s="24">
        <f t="shared" si="6"/>
        <v>6.4</v>
      </c>
      <c r="P5" t="s">
        <v>21</v>
      </c>
      <c r="Q5" s="9">
        <f>SUM(G2:G40)</f>
        <v>994.19999999999993</v>
      </c>
      <c r="S5" s="2" t="s">
        <v>58</v>
      </c>
      <c r="T5" s="4">
        <f ca="1">WEEKDAY(TODAY()+2,2)</f>
        <v>1</v>
      </c>
      <c r="V5" s="11" t="s">
        <v>33</v>
      </c>
      <c r="W5" s="11">
        <v>4</v>
      </c>
      <c r="X5" s="11" t="str">
        <v>Aabcca</v>
      </c>
    </row>
    <row r="6" spans="1:24" x14ac:dyDescent="0.25">
      <c r="A6" t="s">
        <v>16</v>
      </c>
      <c r="B6" t="s">
        <v>14</v>
      </c>
      <c r="C6">
        <v>2012</v>
      </c>
      <c r="D6">
        <v>3.4</v>
      </c>
      <c r="E6">
        <v>4.3</v>
      </c>
      <c r="F6">
        <v>57.951000000000001</v>
      </c>
      <c r="G6">
        <v>27</v>
      </c>
      <c r="H6">
        <v>81.7</v>
      </c>
      <c r="I6" s="24">
        <f t="shared" si="0"/>
        <v>57.95</v>
      </c>
      <c r="J6" s="24">
        <f t="shared" si="1"/>
        <v>2.0736441353327719</v>
      </c>
      <c r="K6" s="24" t="str">
        <f t="shared" si="2"/>
        <v>Asi</v>
      </c>
      <c r="L6" s="24" t="str">
        <f t="shared" si="3"/>
        <v>ast</v>
      </c>
      <c r="M6" s="24">
        <f t="shared" si="4"/>
        <v>27</v>
      </c>
      <c r="N6" s="24">
        <f t="shared" si="5"/>
        <v>4</v>
      </c>
      <c r="O6" s="24">
        <f t="shared" si="6"/>
        <v>2.1</v>
      </c>
      <c r="P6" t="s">
        <v>23</v>
      </c>
      <c r="Q6" s="9">
        <f>AVERAGE(G2:G40)</f>
        <v>25.492307692307691</v>
      </c>
      <c r="S6" s="2" t="s">
        <v>59</v>
      </c>
      <c r="T6" s="4">
        <f ca="1">YEAR(TODAY())</f>
        <v>2026</v>
      </c>
      <c r="V6" s="11" t="s">
        <v>33</v>
      </c>
      <c r="W6" s="11">
        <v>4</v>
      </c>
      <c r="X6" s="11" t="str">
        <v>Aabcca</v>
      </c>
    </row>
    <row r="7" spans="1:24" x14ac:dyDescent="0.25">
      <c r="A7" t="s">
        <v>33</v>
      </c>
      <c r="B7" t="s">
        <v>20</v>
      </c>
      <c r="C7">
        <v>2006</v>
      </c>
      <c r="D7">
        <v>9.8000000000000007</v>
      </c>
      <c r="E7">
        <v>11.2</v>
      </c>
      <c r="F7">
        <v>95.22</v>
      </c>
      <c r="G7">
        <v>26.4</v>
      </c>
      <c r="H7">
        <v>78.2</v>
      </c>
      <c r="I7" s="24">
        <f t="shared" si="0"/>
        <v>95.22</v>
      </c>
      <c r="J7" s="24">
        <f t="shared" si="1"/>
        <v>3.3466401061363023</v>
      </c>
      <c r="K7" s="24" t="str">
        <f t="shared" si="2"/>
        <v>Afr</v>
      </c>
      <c r="L7" s="24" t="str">
        <f t="shared" si="3"/>
        <v>ean</v>
      </c>
      <c r="M7" s="24">
        <f t="shared" si="4"/>
        <v>24</v>
      </c>
      <c r="N7" s="24">
        <f t="shared" si="5"/>
        <v>6</v>
      </c>
      <c r="O7" s="24">
        <f t="shared" si="6"/>
        <v>3.3</v>
      </c>
      <c r="P7" t="s">
        <v>24</v>
      </c>
      <c r="Q7" s="9">
        <f>MEDIAN(G2:G40)</f>
        <v>25.9</v>
      </c>
      <c r="S7" s="2" t="s">
        <v>60</v>
      </c>
      <c r="T7" s="4">
        <f ca="1">MONTH(TODAY()+35)</f>
        <v>7</v>
      </c>
      <c r="V7" s="11" t="s">
        <v>16</v>
      </c>
      <c r="W7" s="11">
        <v>3</v>
      </c>
      <c r="X7" s="11" t="str">
        <v>Aabc</v>
      </c>
    </row>
    <row r="8" spans="1:24" x14ac:dyDescent="0.25">
      <c r="A8" t="s">
        <v>33</v>
      </c>
      <c r="B8" t="s">
        <v>22</v>
      </c>
      <c r="C8">
        <v>2015</v>
      </c>
      <c r="D8">
        <v>6.6</v>
      </c>
      <c r="E8">
        <v>8.1999999999999993</v>
      </c>
      <c r="F8">
        <v>223</v>
      </c>
      <c r="G8">
        <v>26.2</v>
      </c>
      <c r="H8">
        <v>71.2</v>
      </c>
      <c r="I8" s="24">
        <f t="shared" si="0"/>
        <v>223</v>
      </c>
      <c r="J8" s="24">
        <f t="shared" si="1"/>
        <v>2.8635642126552705</v>
      </c>
      <c r="K8" s="24" t="str">
        <f t="shared" si="2"/>
        <v>Afr</v>
      </c>
      <c r="L8" s="24" t="str">
        <f t="shared" si="3"/>
        <v>ope</v>
      </c>
      <c r="M8" s="24">
        <f t="shared" si="4"/>
        <v>21</v>
      </c>
      <c r="N8" s="24">
        <f t="shared" si="5"/>
        <v>6</v>
      </c>
      <c r="O8" s="24">
        <f t="shared" si="6"/>
        <v>2.9</v>
      </c>
      <c r="S8" s="2" t="s">
        <v>61</v>
      </c>
      <c r="T8" s="4">
        <f ca="1">DAY(TODAY()+5)</f>
        <v>11</v>
      </c>
      <c r="V8" s="11" t="s">
        <v>33</v>
      </c>
      <c r="W8" s="11">
        <v>4</v>
      </c>
      <c r="X8" s="11" t="str">
        <v>Aabcca</v>
      </c>
    </row>
    <row r="9" spans="1:24" x14ac:dyDescent="0.25">
      <c r="A9" t="s">
        <v>66</v>
      </c>
      <c r="B9" t="s">
        <v>15</v>
      </c>
      <c r="C9">
        <v>2000</v>
      </c>
      <c r="D9">
        <v>8.6999999999999993</v>
      </c>
      <c r="E9">
        <v>10.1</v>
      </c>
      <c r="F9">
        <v>192.96899999999999</v>
      </c>
      <c r="G9">
        <v>25.9</v>
      </c>
      <c r="H9">
        <v>71.2</v>
      </c>
      <c r="I9" s="24">
        <f t="shared" si="0"/>
        <v>192.97</v>
      </c>
      <c r="J9" s="24">
        <f t="shared" si="1"/>
        <v>3.1780497164141406</v>
      </c>
      <c r="K9" s="24" t="str">
        <f t="shared" si="2"/>
        <v>Eur</v>
      </c>
      <c r="L9" s="24" t="str">
        <f t="shared" si="3"/>
        <v>ion</v>
      </c>
      <c r="M9" s="24">
        <f t="shared" si="4"/>
        <v>18</v>
      </c>
      <c r="N9" s="24">
        <f t="shared" si="5"/>
        <v>9</v>
      </c>
      <c r="O9" s="24">
        <f t="shared" si="6"/>
        <v>3.2</v>
      </c>
      <c r="V9" s="11" t="s">
        <v>33</v>
      </c>
      <c r="W9" s="11">
        <v>4</v>
      </c>
      <c r="X9" s="11" t="str">
        <v>Aabcca</v>
      </c>
    </row>
    <row r="10" spans="1:24" x14ac:dyDescent="0.25">
      <c r="A10" t="s">
        <v>16</v>
      </c>
      <c r="B10" t="s">
        <v>14</v>
      </c>
      <c r="C10">
        <v>2001</v>
      </c>
      <c r="D10">
        <v>22</v>
      </c>
      <c r="E10">
        <v>26.1</v>
      </c>
      <c r="F10">
        <v>129.76400000000001</v>
      </c>
      <c r="G10">
        <v>27.9</v>
      </c>
      <c r="H10">
        <v>71.900000000000006</v>
      </c>
      <c r="I10" s="24">
        <f t="shared" si="0"/>
        <v>129.76</v>
      </c>
      <c r="J10" s="24">
        <f t="shared" si="1"/>
        <v>5.1088159097779204</v>
      </c>
      <c r="K10" s="24" t="str">
        <f t="shared" si="2"/>
        <v>Asi</v>
      </c>
      <c r="L10" s="24" t="str">
        <f t="shared" si="3"/>
        <v>ast</v>
      </c>
      <c r="M10" s="24">
        <f t="shared" si="4"/>
        <v>26</v>
      </c>
      <c r="N10" s="24">
        <f t="shared" si="5"/>
        <v>4</v>
      </c>
      <c r="O10" s="24">
        <f t="shared" si="6"/>
        <v>5.0999999999999996</v>
      </c>
      <c r="V10" s="11" t="s">
        <v>66</v>
      </c>
      <c r="W10" s="11" t="e">
        <v>#VALUE!</v>
      </c>
      <c r="X10" s="11" t="str">
        <v xml:space="preserve">Eabcpean </v>
      </c>
    </row>
    <row r="11" spans="1:24" x14ac:dyDescent="0.25">
      <c r="A11" t="s">
        <v>16</v>
      </c>
      <c r="B11" t="s">
        <v>22</v>
      </c>
      <c r="C11">
        <v>2008</v>
      </c>
      <c r="D11">
        <v>15.3</v>
      </c>
      <c r="E11">
        <v>17.8</v>
      </c>
      <c r="F11">
        <v>217.857</v>
      </c>
      <c r="G11">
        <v>26.5</v>
      </c>
      <c r="H11">
        <v>68.7</v>
      </c>
      <c r="I11" s="24">
        <f t="shared" si="0"/>
        <v>217.86</v>
      </c>
      <c r="J11" s="24">
        <f t="shared" si="1"/>
        <v>4.2190046219457971</v>
      </c>
      <c r="K11" s="24" t="str">
        <f t="shared" si="2"/>
        <v>Asi</v>
      </c>
      <c r="L11" s="24" t="str">
        <f t="shared" si="3"/>
        <v>ope</v>
      </c>
      <c r="M11" s="24">
        <f t="shared" si="4"/>
        <v>22</v>
      </c>
      <c r="N11" s="24">
        <f t="shared" si="5"/>
        <v>4</v>
      </c>
      <c r="O11" s="24">
        <f t="shared" si="6"/>
        <v>4.2</v>
      </c>
      <c r="V11" s="11" t="s">
        <v>16</v>
      </c>
      <c r="W11" s="11">
        <v>3</v>
      </c>
      <c r="X11" s="11" t="str">
        <v>Aabc</v>
      </c>
    </row>
    <row r="12" spans="1:24" x14ac:dyDescent="0.25">
      <c r="A12" t="s">
        <v>33</v>
      </c>
      <c r="B12" t="s">
        <v>17</v>
      </c>
      <c r="C12">
        <v>2012</v>
      </c>
      <c r="D12">
        <v>15.4</v>
      </c>
      <c r="E12">
        <v>17.2</v>
      </c>
      <c r="F12">
        <v>150.22450000000001</v>
      </c>
      <c r="G12">
        <v>26.1</v>
      </c>
      <c r="H12">
        <v>74.2</v>
      </c>
      <c r="I12" s="24">
        <f t="shared" si="0"/>
        <v>150.22</v>
      </c>
      <c r="J12" s="24">
        <f t="shared" si="1"/>
        <v>4.1472882706655438</v>
      </c>
      <c r="K12" s="24" t="str">
        <f t="shared" si="2"/>
        <v>Afr</v>
      </c>
      <c r="L12" s="24" t="str">
        <f t="shared" si="3"/>
        <v>ica</v>
      </c>
      <c r="M12" s="24">
        <f t="shared" si="4"/>
        <v>19</v>
      </c>
      <c r="N12" s="24">
        <f t="shared" si="5"/>
        <v>6</v>
      </c>
      <c r="O12" s="24">
        <f t="shared" si="6"/>
        <v>4.0999999999999996</v>
      </c>
      <c r="V12" s="11" t="s">
        <v>16</v>
      </c>
      <c r="W12" s="11">
        <v>3</v>
      </c>
      <c r="X12" s="11" t="str">
        <v>Aabc</v>
      </c>
    </row>
    <row r="13" spans="1:24" x14ac:dyDescent="0.25">
      <c r="A13" t="s">
        <v>26</v>
      </c>
      <c r="B13" t="s">
        <v>15</v>
      </c>
      <c r="C13">
        <v>2007</v>
      </c>
      <c r="D13">
        <v>6</v>
      </c>
      <c r="E13">
        <v>6.8</v>
      </c>
      <c r="F13">
        <v>58.018500000000003</v>
      </c>
      <c r="G13">
        <v>27.1</v>
      </c>
      <c r="H13">
        <v>79.8</v>
      </c>
      <c r="I13" s="24">
        <f t="shared" si="0"/>
        <v>58.02</v>
      </c>
      <c r="J13" s="24">
        <f t="shared" si="1"/>
        <v>2.6076809620810595</v>
      </c>
      <c r="K13" s="24" t="str">
        <f t="shared" si="2"/>
        <v>Mal</v>
      </c>
      <c r="L13" s="24" t="str">
        <f t="shared" si="3"/>
        <v>ion</v>
      </c>
      <c r="M13" s="24">
        <f t="shared" si="4"/>
        <v>22</v>
      </c>
      <c r="N13" s="24">
        <f t="shared" si="5"/>
        <v>5</v>
      </c>
      <c r="O13" s="24">
        <f t="shared" si="6"/>
        <v>2.6</v>
      </c>
      <c r="V13" s="11" t="s">
        <v>33</v>
      </c>
      <c r="W13" s="11">
        <v>4</v>
      </c>
      <c r="X13" s="11" t="str">
        <v>Aabcca</v>
      </c>
    </row>
    <row r="14" spans="1:24" ht="21" x14ac:dyDescent="0.35">
      <c r="A14" t="s">
        <v>27</v>
      </c>
      <c r="B14" t="s">
        <v>20</v>
      </c>
      <c r="C14">
        <v>2011</v>
      </c>
      <c r="D14">
        <v>13</v>
      </c>
      <c r="E14">
        <v>15.2</v>
      </c>
      <c r="F14">
        <v>165.53800000000001</v>
      </c>
      <c r="G14">
        <v>27.6</v>
      </c>
      <c r="H14">
        <v>72.3</v>
      </c>
      <c r="I14" s="24">
        <f t="shared" si="0"/>
        <v>165.54</v>
      </c>
      <c r="J14" s="24">
        <f t="shared" si="1"/>
        <v>3.8987177379235853</v>
      </c>
      <c r="K14" s="24" t="str">
        <f t="shared" si="2"/>
        <v>Bah</v>
      </c>
      <c r="L14" s="24" t="str">
        <f t="shared" si="3"/>
        <v>ean</v>
      </c>
      <c r="M14" s="24">
        <f t="shared" si="4"/>
        <v>22</v>
      </c>
      <c r="N14" s="24">
        <f t="shared" si="5"/>
        <v>12</v>
      </c>
      <c r="O14" s="24">
        <f t="shared" si="6"/>
        <v>3.9</v>
      </c>
      <c r="Q14" s="50" t="s">
        <v>220</v>
      </c>
    </row>
    <row r="15" spans="1:24" x14ac:dyDescent="0.25">
      <c r="A15" t="s">
        <v>28</v>
      </c>
      <c r="B15" t="s">
        <v>22</v>
      </c>
      <c r="C15">
        <v>2002</v>
      </c>
      <c r="D15">
        <v>14.3</v>
      </c>
      <c r="E15">
        <v>16.600000000000001</v>
      </c>
      <c r="F15">
        <v>261.60950000000003</v>
      </c>
      <c r="G15">
        <v>25.8</v>
      </c>
      <c r="H15">
        <v>68.3</v>
      </c>
      <c r="I15" s="24">
        <f t="shared" si="0"/>
        <v>261.61</v>
      </c>
      <c r="J15" s="24">
        <f t="shared" si="1"/>
        <v>4.0743097574926725</v>
      </c>
      <c r="K15" s="24" t="str">
        <f t="shared" si="2"/>
        <v>Ukr</v>
      </c>
      <c r="L15" s="24" t="str">
        <f t="shared" si="3"/>
        <v>ope</v>
      </c>
      <c r="M15" s="24">
        <f t="shared" si="4"/>
        <v>15</v>
      </c>
      <c r="N15" s="24">
        <f t="shared" si="5"/>
        <v>7</v>
      </c>
      <c r="O15" s="24">
        <f t="shared" si="6"/>
        <v>4.0999999999999996</v>
      </c>
      <c r="R15" s="11"/>
      <c r="S15" s="27" t="s">
        <v>69</v>
      </c>
      <c r="T15" s="27" t="s">
        <v>64</v>
      </c>
      <c r="U15" s="27" t="s">
        <v>67</v>
      </c>
      <c r="V15" s="27" t="s">
        <v>68</v>
      </c>
    </row>
    <row r="16" spans="1:24" x14ac:dyDescent="0.25">
      <c r="A16" t="s">
        <v>29</v>
      </c>
      <c r="B16" t="s">
        <v>22</v>
      </c>
      <c r="C16">
        <v>2006</v>
      </c>
      <c r="D16">
        <v>4.2</v>
      </c>
      <c r="E16">
        <v>4.9000000000000004</v>
      </c>
      <c r="F16">
        <v>63.243499999999997</v>
      </c>
      <c r="G16">
        <v>25</v>
      </c>
      <c r="H16">
        <v>81.5</v>
      </c>
      <c r="I16" s="24">
        <f t="shared" si="0"/>
        <v>63.24</v>
      </c>
      <c r="J16" s="24">
        <f t="shared" si="1"/>
        <v>2.2135943621178655</v>
      </c>
      <c r="K16" s="24" t="str">
        <f t="shared" si="2"/>
        <v>Swi</v>
      </c>
      <c r="L16" s="24" t="str">
        <f t="shared" si="3"/>
        <v>ope</v>
      </c>
      <c r="M16" s="24">
        <f t="shared" si="4"/>
        <v>12</v>
      </c>
      <c r="N16" s="24">
        <f t="shared" si="5"/>
        <v>11</v>
      </c>
      <c r="O16" s="24">
        <f t="shared" si="6"/>
        <v>2.2000000000000002</v>
      </c>
      <c r="R16" s="11" t="s">
        <v>33</v>
      </c>
      <c r="S16" s="11" t="str" cm="1">
        <f t="array" ref="S16:S26">SUBSTITUTE(R16:R26,"Africa","abc")</f>
        <v>abc</v>
      </c>
      <c r="T16" s="11" t="str" cm="1">
        <f t="array" ref="T16:T26">MID(R16:R26,2,3)</f>
        <v>fri</v>
      </c>
      <c r="U16" s="11" cm="1">
        <f t="array" ref="U16:U26">SEARCH("a",R16:R26)</f>
        <v>1</v>
      </c>
      <c r="V16" s="11" t="str" cm="1">
        <f t="array" ref="V16:V26">CONCATENATE(R16:R26,_xlfn.ANCHORARRAY(T16))</f>
        <v>Africafri</v>
      </c>
    </row>
    <row r="17" spans="1:26" x14ac:dyDescent="0.25">
      <c r="A17" t="s">
        <v>30</v>
      </c>
      <c r="B17" t="s">
        <v>22</v>
      </c>
      <c r="C17">
        <v>2001</v>
      </c>
      <c r="D17">
        <v>3.8</v>
      </c>
      <c r="E17">
        <v>4.7</v>
      </c>
      <c r="F17">
        <v>80.495500000000007</v>
      </c>
      <c r="G17">
        <v>25.7</v>
      </c>
      <c r="H17">
        <v>78.8</v>
      </c>
      <c r="I17" s="24">
        <f t="shared" si="0"/>
        <v>80.5</v>
      </c>
      <c r="J17" s="24">
        <f t="shared" si="1"/>
        <v>2.16794833886788</v>
      </c>
      <c r="K17" s="24" t="str">
        <f t="shared" si="2"/>
        <v>Nor</v>
      </c>
      <c r="L17" s="24" t="str">
        <f t="shared" si="3"/>
        <v>ope</v>
      </c>
      <c r="M17" s="24">
        <f t="shared" si="4"/>
        <v>13</v>
      </c>
      <c r="N17" s="24">
        <f t="shared" si="5"/>
        <v>6</v>
      </c>
      <c r="O17" s="24">
        <f t="shared" si="6"/>
        <v>2.2000000000000002</v>
      </c>
      <c r="R17" s="11" t="s">
        <v>16</v>
      </c>
      <c r="S17" s="11" t="str">
        <v>Asia</v>
      </c>
      <c r="T17" s="11" t="str">
        <v>sia</v>
      </c>
      <c r="U17" s="11">
        <v>1</v>
      </c>
      <c r="V17" s="11" t="str">
        <v>Asiasia</v>
      </c>
    </row>
    <row r="18" spans="1:26" x14ac:dyDescent="0.25">
      <c r="A18" t="s">
        <v>31</v>
      </c>
      <c r="B18" t="s">
        <v>15</v>
      </c>
      <c r="C18">
        <v>2013</v>
      </c>
      <c r="D18">
        <v>2.2000000000000002</v>
      </c>
      <c r="E18">
        <v>2.7</v>
      </c>
      <c r="F18">
        <v>76.566999999999993</v>
      </c>
      <c r="G18">
        <v>26</v>
      </c>
      <c r="H18">
        <v>81</v>
      </c>
      <c r="I18" s="24">
        <f t="shared" si="0"/>
        <v>76.569999999999993</v>
      </c>
      <c r="J18" s="24">
        <f t="shared" si="1"/>
        <v>1.6431676725154984</v>
      </c>
      <c r="K18" s="24" t="str">
        <f t="shared" si="2"/>
        <v>Fin</v>
      </c>
      <c r="L18" s="24" t="str">
        <f t="shared" si="3"/>
        <v>ion</v>
      </c>
      <c r="M18" s="24">
        <f t="shared" si="4"/>
        <v>15</v>
      </c>
      <c r="N18" s="24">
        <f t="shared" si="5"/>
        <v>7</v>
      </c>
      <c r="O18" s="24">
        <f t="shared" si="6"/>
        <v>1.6</v>
      </c>
      <c r="R18" s="11" t="s">
        <v>33</v>
      </c>
      <c r="S18" s="11" t="str">
        <v>abc</v>
      </c>
      <c r="T18" s="11" t="str">
        <v>fri</v>
      </c>
      <c r="U18" s="11">
        <v>1</v>
      </c>
      <c r="V18" s="11" t="str">
        <v>Africafri</v>
      </c>
    </row>
    <row r="19" spans="1:26" x14ac:dyDescent="0.25">
      <c r="A19" t="s">
        <v>32</v>
      </c>
      <c r="B19" t="s">
        <v>33</v>
      </c>
      <c r="C19">
        <v>2007</v>
      </c>
      <c r="D19">
        <v>66.8</v>
      </c>
      <c r="E19">
        <v>91.9</v>
      </c>
      <c r="F19">
        <v>255.88149999999999</v>
      </c>
      <c r="G19">
        <v>23.5</v>
      </c>
      <c r="H19">
        <v>60.7</v>
      </c>
      <c r="I19" s="24">
        <f t="shared" si="0"/>
        <v>255.88</v>
      </c>
      <c r="J19" s="24">
        <f t="shared" si="1"/>
        <v>9.5864487689654929</v>
      </c>
      <c r="K19" s="24" t="str">
        <f t="shared" si="2"/>
        <v>Com</v>
      </c>
      <c r="L19" s="24" t="str">
        <f t="shared" si="3"/>
        <v>ica</v>
      </c>
      <c r="M19" s="24">
        <f t="shared" si="4"/>
        <v>7</v>
      </c>
      <c r="N19" s="24">
        <f t="shared" si="5"/>
        <v>7</v>
      </c>
      <c r="O19" s="24">
        <f t="shared" si="6"/>
        <v>9.6</v>
      </c>
      <c r="R19" s="11" t="s">
        <v>33</v>
      </c>
      <c r="S19" s="11" t="str">
        <v>abc</v>
      </c>
      <c r="T19" s="11" t="str">
        <v>fri</v>
      </c>
      <c r="U19" s="11">
        <v>1</v>
      </c>
      <c r="V19" s="11" t="str">
        <v>Africafri</v>
      </c>
    </row>
    <row r="20" spans="1:26" x14ac:dyDescent="0.25">
      <c r="A20" t="s">
        <v>34</v>
      </c>
      <c r="B20" t="s">
        <v>16</v>
      </c>
      <c r="C20">
        <v>2005</v>
      </c>
      <c r="D20">
        <v>2.8</v>
      </c>
      <c r="E20">
        <v>3.7</v>
      </c>
      <c r="F20">
        <v>68.768000000000001</v>
      </c>
      <c r="G20">
        <v>22.6</v>
      </c>
      <c r="H20">
        <v>81.900000000000006</v>
      </c>
      <c r="I20" s="24">
        <f t="shared" si="0"/>
        <v>68.77</v>
      </c>
      <c r="J20" s="24">
        <f t="shared" si="1"/>
        <v>1.9235384061671346</v>
      </c>
      <c r="K20" s="24" t="str">
        <f t="shared" si="2"/>
        <v>Jap</v>
      </c>
      <c r="L20" s="24" t="str">
        <f t="shared" si="3"/>
        <v>sia</v>
      </c>
      <c r="M20" s="24">
        <f t="shared" si="4"/>
        <v>5</v>
      </c>
      <c r="N20" s="24">
        <f t="shared" si="5"/>
        <v>5</v>
      </c>
      <c r="O20" s="24">
        <f t="shared" si="6"/>
        <v>1.9</v>
      </c>
      <c r="R20" s="11" t="s">
        <v>16</v>
      </c>
      <c r="S20" s="11" t="str">
        <v>Asia</v>
      </c>
      <c r="T20" s="11" t="str">
        <v>sia</v>
      </c>
      <c r="U20" s="11">
        <v>1</v>
      </c>
      <c r="V20" s="11" t="str">
        <v>Asiasia</v>
      </c>
    </row>
    <row r="21" spans="1:26" x14ac:dyDescent="0.25">
      <c r="A21" t="s">
        <v>35</v>
      </c>
      <c r="B21" t="s">
        <v>33</v>
      </c>
      <c r="C21">
        <v>2012</v>
      </c>
      <c r="D21">
        <v>39.1</v>
      </c>
      <c r="E21">
        <v>57.1</v>
      </c>
      <c r="F21">
        <v>256.88</v>
      </c>
      <c r="G21">
        <v>24.9</v>
      </c>
      <c r="H21">
        <v>62.9</v>
      </c>
      <c r="I21" s="24">
        <f t="shared" si="0"/>
        <v>256.88</v>
      </c>
      <c r="J21" s="24">
        <f t="shared" si="1"/>
        <v>7.556454194925025</v>
      </c>
      <c r="K21" s="24" t="str">
        <f t="shared" si="2"/>
        <v>Gab</v>
      </c>
      <c r="L21" s="24" t="str">
        <f t="shared" si="3"/>
        <v>ica</v>
      </c>
      <c r="M21" s="24">
        <f t="shared" si="4"/>
        <v>9</v>
      </c>
      <c r="N21" s="24">
        <f t="shared" si="5"/>
        <v>5</v>
      </c>
      <c r="O21" s="24">
        <f t="shared" si="6"/>
        <v>7.6</v>
      </c>
      <c r="R21" s="11" t="s">
        <v>33</v>
      </c>
      <c r="S21" s="11" t="str">
        <v>abc</v>
      </c>
      <c r="T21" s="11" t="str">
        <v>fri</v>
      </c>
      <c r="U21" s="11">
        <v>1</v>
      </c>
      <c r="V21" s="11" t="str">
        <v>Africafri</v>
      </c>
    </row>
    <row r="22" spans="1:26" x14ac:dyDescent="0.25">
      <c r="A22" t="s">
        <v>36</v>
      </c>
      <c r="B22" t="s">
        <v>33</v>
      </c>
      <c r="C22">
        <v>2011</v>
      </c>
      <c r="D22">
        <v>45.2</v>
      </c>
      <c r="E22">
        <v>65.900000000000006</v>
      </c>
      <c r="F22">
        <v>257.0865</v>
      </c>
      <c r="G22">
        <v>23.7</v>
      </c>
      <c r="H22">
        <v>61.4</v>
      </c>
      <c r="I22" s="24">
        <f t="shared" si="0"/>
        <v>257.08999999999997</v>
      </c>
      <c r="J22" s="24">
        <f t="shared" si="1"/>
        <v>8.1178814970409618</v>
      </c>
      <c r="K22" s="24" t="str">
        <f t="shared" si="2"/>
        <v>Gha</v>
      </c>
      <c r="L22" s="24" t="str">
        <f t="shared" si="3"/>
        <v>ica</v>
      </c>
      <c r="M22" s="24">
        <f t="shared" si="4"/>
        <v>7</v>
      </c>
      <c r="N22" s="24">
        <f t="shared" si="5"/>
        <v>5</v>
      </c>
      <c r="O22" s="24">
        <f t="shared" si="6"/>
        <v>8.1</v>
      </c>
      <c r="R22" s="11" t="s">
        <v>33</v>
      </c>
      <c r="S22" s="11" t="str">
        <v>abc</v>
      </c>
      <c r="T22" s="11" t="str">
        <v>fri</v>
      </c>
      <c r="U22" s="11">
        <v>1</v>
      </c>
      <c r="V22" s="11" t="str">
        <v>Africafri</v>
      </c>
    </row>
    <row r="23" spans="1:26" x14ac:dyDescent="0.25">
      <c r="A23" t="s">
        <v>37</v>
      </c>
      <c r="B23" t="s">
        <v>16</v>
      </c>
      <c r="C23">
        <v>2001</v>
      </c>
      <c r="D23">
        <v>28.2</v>
      </c>
      <c r="E23">
        <v>36.9</v>
      </c>
      <c r="F23">
        <v>214.26849999999999</v>
      </c>
      <c r="G23">
        <v>22.3</v>
      </c>
      <c r="H23">
        <v>68.8</v>
      </c>
      <c r="I23" s="24">
        <f t="shared" si="0"/>
        <v>214.27</v>
      </c>
      <c r="J23" s="24">
        <f t="shared" si="1"/>
        <v>6.0745370193949757</v>
      </c>
      <c r="K23" s="24" t="str">
        <f t="shared" si="2"/>
        <v>Phi</v>
      </c>
      <c r="L23" s="24" t="str">
        <f t="shared" si="3"/>
        <v>sia</v>
      </c>
      <c r="M23" s="24">
        <f t="shared" si="4"/>
        <v>3</v>
      </c>
      <c r="N23" s="24">
        <f t="shared" si="5"/>
        <v>11</v>
      </c>
      <c r="O23" s="24">
        <f t="shared" si="6"/>
        <v>6.1</v>
      </c>
      <c r="R23" s="11" t="s">
        <v>66</v>
      </c>
      <c r="S23" s="11" t="str">
        <v xml:space="preserve">European </v>
      </c>
      <c r="T23" s="11" t="str">
        <v>uro</v>
      </c>
      <c r="U23" s="11">
        <v>7</v>
      </c>
      <c r="V23" s="11" t="str">
        <v>European uro</v>
      </c>
    </row>
    <row r="24" spans="1:26" x14ac:dyDescent="0.25">
      <c r="A24" t="s">
        <v>38</v>
      </c>
      <c r="B24" t="s">
        <v>33</v>
      </c>
      <c r="C24">
        <v>2003</v>
      </c>
      <c r="D24">
        <v>64.599999999999994</v>
      </c>
      <c r="E24">
        <v>100.2</v>
      </c>
      <c r="F24">
        <v>406.702</v>
      </c>
      <c r="G24">
        <v>22.3</v>
      </c>
      <c r="H24">
        <v>53.8</v>
      </c>
      <c r="I24" s="24">
        <f t="shared" si="0"/>
        <v>406.7</v>
      </c>
      <c r="J24" s="24">
        <f t="shared" si="1"/>
        <v>10.009995004993758</v>
      </c>
      <c r="K24" s="24" t="str">
        <f t="shared" si="2"/>
        <v>Con</v>
      </c>
      <c r="L24" s="24" t="str">
        <f t="shared" si="3"/>
        <v>ica</v>
      </c>
      <c r="M24" s="24">
        <f t="shared" si="4"/>
        <v>3</v>
      </c>
      <c r="N24" s="24">
        <f t="shared" si="5"/>
        <v>11</v>
      </c>
      <c r="O24" s="24">
        <f t="shared" si="6"/>
        <v>10</v>
      </c>
      <c r="R24" s="11" t="s">
        <v>16</v>
      </c>
      <c r="S24" s="11" t="str">
        <v>Asia</v>
      </c>
      <c r="T24" s="11" t="str">
        <v>sia</v>
      </c>
      <c r="U24" s="11">
        <v>1</v>
      </c>
      <c r="V24" s="11" t="str">
        <v>Asiasia</v>
      </c>
    </row>
    <row r="25" spans="1:26" x14ac:dyDescent="0.25">
      <c r="A25" t="s">
        <v>39</v>
      </c>
      <c r="B25" t="s">
        <v>33</v>
      </c>
      <c r="C25">
        <v>2011</v>
      </c>
      <c r="D25">
        <v>45.8</v>
      </c>
      <c r="E25">
        <v>67</v>
      </c>
      <c r="F25">
        <v>237.6755</v>
      </c>
      <c r="G25">
        <v>21.1</v>
      </c>
      <c r="H25">
        <v>63.8</v>
      </c>
      <c r="I25" s="24">
        <f t="shared" si="0"/>
        <v>237.68</v>
      </c>
      <c r="J25" s="24">
        <f t="shared" si="1"/>
        <v>8.1853527718724504</v>
      </c>
      <c r="K25" s="24" t="str">
        <f t="shared" si="2"/>
        <v>Mad</v>
      </c>
      <c r="L25" s="24" t="str">
        <f t="shared" si="3"/>
        <v>ica</v>
      </c>
      <c r="M25" s="24">
        <f t="shared" si="4"/>
        <v>2</v>
      </c>
      <c r="N25" s="24">
        <f t="shared" si="5"/>
        <v>10</v>
      </c>
      <c r="O25" s="24">
        <f t="shared" si="6"/>
        <v>8.1999999999999993</v>
      </c>
      <c r="R25" s="11" t="s">
        <v>16</v>
      </c>
      <c r="S25" s="11" t="str">
        <v>Asia</v>
      </c>
      <c r="T25" s="11" t="str">
        <v>sia</v>
      </c>
      <c r="U25" s="11">
        <v>1</v>
      </c>
      <c r="V25" s="11" t="str">
        <v>Asiasia</v>
      </c>
    </row>
    <row r="26" spans="1:26" x14ac:dyDescent="0.25">
      <c r="A26" t="s">
        <v>40</v>
      </c>
      <c r="B26" t="s">
        <v>15</v>
      </c>
      <c r="C26">
        <v>2004</v>
      </c>
      <c r="D26">
        <v>6.2</v>
      </c>
      <c r="E26">
        <v>7.8</v>
      </c>
      <c r="F26">
        <v>194.0975</v>
      </c>
      <c r="G26">
        <v>25.8</v>
      </c>
      <c r="H26">
        <v>71.900000000000006</v>
      </c>
      <c r="I26" s="24">
        <f t="shared" si="0"/>
        <v>194.1</v>
      </c>
      <c r="J26" s="24">
        <f t="shared" si="1"/>
        <v>2.7928480087537881</v>
      </c>
      <c r="K26" s="24" t="str">
        <f t="shared" si="2"/>
        <v>Est</v>
      </c>
      <c r="L26" s="24" t="str">
        <f t="shared" si="3"/>
        <v>ion</v>
      </c>
      <c r="M26" s="24">
        <f t="shared" si="4"/>
        <v>6</v>
      </c>
      <c r="N26" s="24">
        <f t="shared" si="5"/>
        <v>7</v>
      </c>
      <c r="O26" s="24">
        <f t="shared" si="6"/>
        <v>2.8</v>
      </c>
      <c r="R26" s="11" t="s">
        <v>33</v>
      </c>
      <c r="S26" s="11" t="str">
        <v>abc</v>
      </c>
      <c r="T26" s="11" t="str">
        <v>fri</v>
      </c>
      <c r="U26" s="11">
        <v>1</v>
      </c>
      <c r="V26" s="11" t="str">
        <v>Africafri</v>
      </c>
    </row>
    <row r="27" spans="1:26" x14ac:dyDescent="0.25">
      <c r="A27" t="s">
        <v>41</v>
      </c>
      <c r="B27" t="s">
        <v>20</v>
      </c>
      <c r="C27">
        <v>2013</v>
      </c>
      <c r="D27">
        <v>14.6</v>
      </c>
      <c r="E27">
        <v>16.899999999999999</v>
      </c>
      <c r="F27">
        <v>179.14400000000001</v>
      </c>
      <c r="G27">
        <v>28.7</v>
      </c>
      <c r="H27">
        <v>73.5</v>
      </c>
      <c r="I27" s="24">
        <f t="shared" si="0"/>
        <v>179.14</v>
      </c>
      <c r="J27" s="24">
        <f t="shared" si="1"/>
        <v>4.1109609582188931</v>
      </c>
      <c r="K27" s="24" t="str">
        <f t="shared" si="2"/>
        <v>Bel</v>
      </c>
      <c r="L27" s="24" t="str">
        <f t="shared" si="3"/>
        <v>ean</v>
      </c>
      <c r="M27" s="24">
        <f t="shared" si="4"/>
        <v>12</v>
      </c>
      <c r="N27" s="24">
        <f t="shared" si="5"/>
        <v>6</v>
      </c>
      <c r="O27" s="24">
        <f t="shared" si="6"/>
        <v>4.0999999999999996</v>
      </c>
    </row>
    <row r="28" spans="1:26" ht="21" x14ac:dyDescent="0.35">
      <c r="A28" t="s">
        <v>42</v>
      </c>
      <c r="B28" t="s">
        <v>16</v>
      </c>
      <c r="C28">
        <v>2006</v>
      </c>
      <c r="D28">
        <v>25.6</v>
      </c>
      <c r="E28">
        <v>29</v>
      </c>
      <c r="F28">
        <v>270.98849999999999</v>
      </c>
      <c r="G28">
        <v>25.8</v>
      </c>
      <c r="H28">
        <v>66.2</v>
      </c>
      <c r="I28" s="24">
        <f t="shared" si="0"/>
        <v>270.99</v>
      </c>
      <c r="J28" s="24">
        <f t="shared" si="1"/>
        <v>5.3851648071345037</v>
      </c>
      <c r="K28" s="24" t="str">
        <f t="shared" si="2"/>
        <v>Kaz</v>
      </c>
      <c r="L28" s="24" t="str">
        <f t="shared" si="3"/>
        <v>sia</v>
      </c>
      <c r="M28" s="24">
        <f t="shared" si="4"/>
        <v>6</v>
      </c>
      <c r="N28" s="24">
        <f t="shared" si="5"/>
        <v>10</v>
      </c>
      <c r="O28" s="24">
        <f t="shared" si="6"/>
        <v>5.4</v>
      </c>
      <c r="Q28" s="50" t="s">
        <v>219</v>
      </c>
      <c r="Z28" s="2"/>
    </row>
    <row r="29" spans="1:26" x14ac:dyDescent="0.25">
      <c r="A29" t="s">
        <v>43</v>
      </c>
      <c r="B29" t="s">
        <v>33</v>
      </c>
      <c r="C29">
        <v>2015</v>
      </c>
      <c r="D29">
        <v>57</v>
      </c>
      <c r="E29">
        <v>88</v>
      </c>
      <c r="F29">
        <v>340.12650000000002</v>
      </c>
      <c r="G29">
        <v>24.3</v>
      </c>
      <c r="H29">
        <v>57.6</v>
      </c>
      <c r="I29" s="24">
        <f t="shared" si="0"/>
        <v>340.13</v>
      </c>
      <c r="J29" s="24">
        <f t="shared" si="1"/>
        <v>9.3808315196468595</v>
      </c>
      <c r="K29" s="24" t="str">
        <f t="shared" si="2"/>
        <v>Cam</v>
      </c>
      <c r="L29" s="24" t="str">
        <f t="shared" si="3"/>
        <v>ica</v>
      </c>
      <c r="M29" s="24">
        <f t="shared" si="4"/>
        <v>4</v>
      </c>
      <c r="N29" s="24">
        <f t="shared" si="5"/>
        <v>8</v>
      </c>
      <c r="O29" s="24">
        <f t="shared" si="6"/>
        <v>9.4</v>
      </c>
      <c r="Q29" s="11"/>
      <c r="R29" s="28" t="s">
        <v>70</v>
      </c>
      <c r="S29" s="28" t="s">
        <v>72</v>
      </c>
      <c r="T29" s="28" t="s">
        <v>71</v>
      </c>
      <c r="U29" s="28" t="s">
        <v>73</v>
      </c>
      <c r="V29" s="28" t="s">
        <v>74</v>
      </c>
      <c r="W29" s="28" t="s">
        <v>102</v>
      </c>
    </row>
    <row r="30" spans="1:26" x14ac:dyDescent="0.25">
      <c r="A30" t="s">
        <v>25</v>
      </c>
      <c r="B30" t="s">
        <v>14</v>
      </c>
      <c r="C30">
        <v>2006</v>
      </c>
      <c r="D30">
        <v>19.2</v>
      </c>
      <c r="E30">
        <v>22.5</v>
      </c>
      <c r="F30">
        <v>121.011</v>
      </c>
      <c r="G30">
        <v>28.3</v>
      </c>
      <c r="H30">
        <v>72.8</v>
      </c>
      <c r="I30" s="24">
        <f t="shared" si="0"/>
        <v>121.01</v>
      </c>
      <c r="J30" s="24">
        <f t="shared" si="1"/>
        <v>4.7434164902525691</v>
      </c>
      <c r="K30" s="24" t="str">
        <f t="shared" si="2"/>
        <v>Jor</v>
      </c>
      <c r="L30" s="24" t="str">
        <f t="shared" si="3"/>
        <v>ast</v>
      </c>
      <c r="M30" s="24">
        <f t="shared" si="4"/>
        <v>8</v>
      </c>
      <c r="N30" s="24">
        <f t="shared" si="5"/>
        <v>6</v>
      </c>
      <c r="O30" s="24">
        <f t="shared" si="6"/>
        <v>4.7</v>
      </c>
      <c r="Q30" s="11">
        <v>105.824</v>
      </c>
      <c r="R30" s="11">
        <f>PRODUCT(Q30,Q31)</f>
        <v>6127.4741600000007</v>
      </c>
      <c r="S30" s="11">
        <f>MOD(Q30,D13)</f>
        <v>3.8239999999999981</v>
      </c>
      <c r="T30" s="11">
        <f>FACT(S30)</f>
        <v>6</v>
      </c>
      <c r="U30" s="11">
        <f>ROUNDUP(S30,1)</f>
        <v>3.9</v>
      </c>
      <c r="V30" s="11">
        <f>ROUNDDOWN(S30,1)</f>
        <v>3.8</v>
      </c>
      <c r="W30" s="11">
        <f>ROUND(PRODUCT(Q30,Q31),1)</f>
        <v>6127.5</v>
      </c>
    </row>
    <row r="31" spans="1:26" x14ac:dyDescent="0.25">
      <c r="A31" t="s">
        <v>44</v>
      </c>
      <c r="B31" t="s">
        <v>33</v>
      </c>
      <c r="C31">
        <v>2009</v>
      </c>
      <c r="D31">
        <v>54</v>
      </c>
      <c r="E31">
        <v>91.3</v>
      </c>
      <c r="F31">
        <v>551.91150000000005</v>
      </c>
      <c r="G31">
        <v>23.6</v>
      </c>
      <c r="H31">
        <v>48.4</v>
      </c>
      <c r="I31" s="24">
        <f t="shared" si="0"/>
        <v>551.91</v>
      </c>
      <c r="J31" s="24">
        <f t="shared" si="1"/>
        <v>9.5551033484730024</v>
      </c>
      <c r="K31" s="24" t="str">
        <f t="shared" si="2"/>
        <v>Zim</v>
      </c>
      <c r="L31" s="24" t="str">
        <f t="shared" si="3"/>
        <v>ica</v>
      </c>
      <c r="M31" s="24">
        <f t="shared" si="4"/>
        <v>3</v>
      </c>
      <c r="N31" s="24">
        <f t="shared" si="5"/>
        <v>8</v>
      </c>
      <c r="O31" s="24">
        <f t="shared" si="6"/>
        <v>9.6</v>
      </c>
      <c r="Q31" s="11">
        <v>57.902500000000003</v>
      </c>
      <c r="R31" s="11">
        <f>PRODUCT(ROUND(Q31,1),ROUND(Q32,1))</f>
        <v>11643.689999999999</v>
      </c>
      <c r="S31" s="11"/>
      <c r="T31" s="11"/>
      <c r="U31" s="11"/>
      <c r="V31" s="11"/>
      <c r="W31" s="11"/>
    </row>
    <row r="32" spans="1:26" x14ac:dyDescent="0.25">
      <c r="A32" t="s">
        <v>45</v>
      </c>
      <c r="B32" t="s">
        <v>16</v>
      </c>
      <c r="C32">
        <v>2005</v>
      </c>
      <c r="D32">
        <v>44.7</v>
      </c>
      <c r="E32">
        <v>57.5</v>
      </c>
      <c r="F32">
        <v>253.2655</v>
      </c>
      <c r="G32">
        <v>22.8</v>
      </c>
      <c r="H32">
        <v>65.3</v>
      </c>
      <c r="I32" s="24">
        <f t="shared" si="0"/>
        <v>253.27</v>
      </c>
      <c r="J32" s="24">
        <f t="shared" si="1"/>
        <v>7.5828754440515507</v>
      </c>
      <c r="K32" s="24" t="str">
        <f t="shared" si="2"/>
        <v>Bhu</v>
      </c>
      <c r="L32" s="24" t="str">
        <f t="shared" si="3"/>
        <v>sia</v>
      </c>
      <c r="M32" s="24">
        <f t="shared" si="4"/>
        <v>2</v>
      </c>
      <c r="N32" s="24">
        <f t="shared" si="5"/>
        <v>6</v>
      </c>
      <c r="O32" s="24">
        <f t="shared" si="6"/>
        <v>7.6</v>
      </c>
      <c r="Q32" s="11">
        <v>201.07650000000001</v>
      </c>
      <c r="R32" s="11"/>
      <c r="S32" s="11"/>
      <c r="T32" s="11"/>
      <c r="U32" s="11"/>
      <c r="V32" s="11"/>
      <c r="W32" s="11"/>
    </row>
    <row r="33" spans="1:26" x14ac:dyDescent="0.25">
      <c r="A33" t="s">
        <v>29</v>
      </c>
      <c r="B33" t="s">
        <v>22</v>
      </c>
      <c r="C33">
        <v>2010</v>
      </c>
      <c r="D33">
        <v>3.9</v>
      </c>
      <c r="E33">
        <v>4.5999999999999996</v>
      </c>
      <c r="F33">
        <v>56.910499999999999</v>
      </c>
      <c r="G33">
        <v>25.1</v>
      </c>
      <c r="H33">
        <v>82.2</v>
      </c>
      <c r="I33" s="24">
        <f t="shared" si="0"/>
        <v>56.91</v>
      </c>
      <c r="J33" s="24">
        <f t="shared" si="1"/>
        <v>2.1447610589527217</v>
      </c>
      <c r="K33" s="24" t="str">
        <f t="shared" si="2"/>
        <v>Swi</v>
      </c>
      <c r="L33" s="24" t="str">
        <f t="shared" si="3"/>
        <v>ope</v>
      </c>
      <c r="M33" s="24">
        <f t="shared" si="4"/>
        <v>2</v>
      </c>
      <c r="N33" s="24">
        <f t="shared" si="5"/>
        <v>11</v>
      </c>
      <c r="O33" s="24">
        <f t="shared" si="6"/>
        <v>2.1</v>
      </c>
    </row>
    <row r="34" spans="1:26" x14ac:dyDescent="0.25">
      <c r="A34" t="s">
        <v>46</v>
      </c>
      <c r="B34" t="s">
        <v>33</v>
      </c>
      <c r="C34">
        <v>2006</v>
      </c>
      <c r="D34">
        <v>48.7</v>
      </c>
      <c r="E34">
        <v>79.2</v>
      </c>
      <c r="F34">
        <v>515.71799999999996</v>
      </c>
      <c r="G34">
        <v>26.6</v>
      </c>
      <c r="H34">
        <v>53.8</v>
      </c>
      <c r="I34" s="24">
        <f t="shared" si="0"/>
        <v>515.72</v>
      </c>
      <c r="J34" s="24">
        <f t="shared" si="1"/>
        <v>8.8994381845147963</v>
      </c>
      <c r="K34" s="24" t="str">
        <f t="shared" si="2"/>
        <v>Sou</v>
      </c>
      <c r="L34" s="24" t="str">
        <f t="shared" si="3"/>
        <v>ica</v>
      </c>
      <c r="M34" s="24">
        <f t="shared" si="4"/>
        <v>4</v>
      </c>
      <c r="N34" s="24">
        <f t="shared" si="5"/>
        <v>12</v>
      </c>
      <c r="O34" s="24">
        <f t="shared" si="6"/>
        <v>8.9</v>
      </c>
    </row>
    <row r="35" spans="1:26" ht="15.75" x14ac:dyDescent="0.25">
      <c r="A35" t="s">
        <v>25</v>
      </c>
      <c r="B35" t="s">
        <v>14</v>
      </c>
      <c r="C35">
        <v>2012</v>
      </c>
      <c r="D35">
        <v>16.2</v>
      </c>
      <c r="E35">
        <v>19</v>
      </c>
      <c r="F35">
        <v>113.2855</v>
      </c>
      <c r="G35">
        <v>28.7</v>
      </c>
      <c r="H35">
        <v>73.7</v>
      </c>
      <c r="I35" s="24">
        <f t="shared" si="0"/>
        <v>113.29</v>
      </c>
      <c r="J35" s="24">
        <f t="shared" si="1"/>
        <v>4.358898943540674</v>
      </c>
      <c r="K35" s="24" t="str">
        <f t="shared" si="2"/>
        <v>Jor</v>
      </c>
      <c r="L35" s="24" t="str">
        <f t="shared" si="3"/>
        <v>ast</v>
      </c>
      <c r="M35" s="24">
        <f t="shared" si="4"/>
        <v>5</v>
      </c>
      <c r="N35" s="24">
        <f t="shared" si="5"/>
        <v>6</v>
      </c>
      <c r="O35" s="24">
        <f t="shared" si="6"/>
        <v>4.4000000000000004</v>
      </c>
      <c r="R35" s="29" t="s">
        <v>76</v>
      </c>
      <c r="S35" s="30" t="s">
        <v>77</v>
      </c>
      <c r="T35" s="30" t="s">
        <v>78</v>
      </c>
      <c r="U35" s="30" t="s">
        <v>1</v>
      </c>
      <c r="V35" s="31" t="s">
        <v>79</v>
      </c>
      <c r="X35" s="11"/>
      <c r="Y35" s="41" t="s">
        <v>103</v>
      </c>
      <c r="Z35" s="11"/>
    </row>
    <row r="36" spans="1:26" x14ac:dyDescent="0.25">
      <c r="A36" t="s">
        <v>47</v>
      </c>
      <c r="B36" t="s">
        <v>33</v>
      </c>
      <c r="C36">
        <v>2012</v>
      </c>
      <c r="D36">
        <v>36.799999999999997</v>
      </c>
      <c r="E36">
        <v>51.2</v>
      </c>
      <c r="F36">
        <v>274.029</v>
      </c>
      <c r="G36">
        <v>20.6</v>
      </c>
      <c r="H36">
        <v>63.2</v>
      </c>
      <c r="I36" s="24">
        <f t="shared" si="0"/>
        <v>274.02999999999997</v>
      </c>
      <c r="J36" s="24">
        <f t="shared" si="1"/>
        <v>7.1554175279993268</v>
      </c>
      <c r="K36" s="24" t="str">
        <f t="shared" si="2"/>
        <v>Eri</v>
      </c>
      <c r="L36" s="24" t="str">
        <f t="shared" si="3"/>
        <v>ica</v>
      </c>
      <c r="M36" s="24">
        <f t="shared" si="4"/>
        <v>1</v>
      </c>
      <c r="N36" s="24">
        <f t="shared" si="5"/>
        <v>7</v>
      </c>
      <c r="O36" s="24">
        <f t="shared" si="6"/>
        <v>7.2</v>
      </c>
      <c r="R36" s="32">
        <v>46023</v>
      </c>
      <c r="S36" s="33" t="s">
        <v>80</v>
      </c>
      <c r="T36" s="33" t="s">
        <v>81</v>
      </c>
      <c r="U36" s="33" t="s">
        <v>82</v>
      </c>
      <c r="V36" s="34">
        <v>45000</v>
      </c>
      <c r="X36" s="42" t="s">
        <v>75</v>
      </c>
      <c r="Y36" s="11" t="s">
        <v>92</v>
      </c>
      <c r="Z36" s="11">
        <f>SUMIF(T36:T45,"Red",V36:V45)</f>
        <v>43000</v>
      </c>
    </row>
    <row r="37" spans="1:26" x14ac:dyDescent="0.25">
      <c r="A37" t="s">
        <v>48</v>
      </c>
      <c r="B37" t="s">
        <v>15</v>
      </c>
      <c r="C37">
        <v>2010</v>
      </c>
      <c r="D37">
        <v>3.5</v>
      </c>
      <c r="E37">
        <v>4.2</v>
      </c>
      <c r="F37">
        <v>77.603999999999999</v>
      </c>
      <c r="G37">
        <v>26.3</v>
      </c>
      <c r="H37">
        <v>80</v>
      </c>
      <c r="I37" s="24">
        <f t="shared" si="0"/>
        <v>77.599999999999994</v>
      </c>
      <c r="J37" s="24">
        <f t="shared" si="1"/>
        <v>2.0493901531919199</v>
      </c>
      <c r="K37" s="24" t="str">
        <f t="shared" si="2"/>
        <v>Ger</v>
      </c>
      <c r="L37" s="24" t="str">
        <f t="shared" si="3"/>
        <v>ion</v>
      </c>
      <c r="M37" s="24">
        <f t="shared" si="4"/>
        <v>1</v>
      </c>
      <c r="N37" s="24">
        <f t="shared" si="5"/>
        <v>7</v>
      </c>
      <c r="O37" s="24">
        <f t="shared" si="6"/>
        <v>2</v>
      </c>
      <c r="R37" s="32">
        <v>46024</v>
      </c>
      <c r="S37" s="33" t="s">
        <v>83</v>
      </c>
      <c r="T37" s="33" t="s">
        <v>84</v>
      </c>
      <c r="U37" s="33" t="s">
        <v>85</v>
      </c>
      <c r="V37" s="35">
        <v>25000</v>
      </c>
      <c r="X37" s="42" t="s">
        <v>95</v>
      </c>
      <c r="Y37" s="11" t="s">
        <v>93</v>
      </c>
      <c r="Z37" s="11">
        <f>SUMIFS(V36:V45,T36:T45,"Black",U36:U45,"South")</f>
        <v>71000</v>
      </c>
    </row>
    <row r="38" spans="1:26" x14ac:dyDescent="0.25">
      <c r="A38" t="s">
        <v>49</v>
      </c>
      <c r="B38" t="s">
        <v>14</v>
      </c>
      <c r="C38">
        <v>2014</v>
      </c>
      <c r="D38">
        <v>8.3000000000000007</v>
      </c>
      <c r="E38">
        <v>9.6</v>
      </c>
      <c r="F38">
        <v>89.12</v>
      </c>
      <c r="G38">
        <v>28.3</v>
      </c>
      <c r="H38">
        <v>74.5</v>
      </c>
      <c r="I38" s="24">
        <f t="shared" si="0"/>
        <v>89.12</v>
      </c>
      <c r="J38" s="24">
        <f t="shared" si="1"/>
        <v>3.0983866769659336</v>
      </c>
      <c r="K38" s="24" t="str">
        <f t="shared" si="2"/>
        <v>Sau</v>
      </c>
      <c r="L38" s="24" t="str">
        <f t="shared" si="3"/>
        <v>ast</v>
      </c>
      <c r="M38" s="24">
        <f t="shared" si="4"/>
        <v>2</v>
      </c>
      <c r="N38" s="24">
        <f t="shared" si="5"/>
        <v>12</v>
      </c>
      <c r="O38" s="24">
        <f t="shared" si="6"/>
        <v>3.1</v>
      </c>
      <c r="R38" s="32">
        <v>46025</v>
      </c>
      <c r="S38" s="33" t="s">
        <v>80</v>
      </c>
      <c r="T38" s="33" t="s">
        <v>81</v>
      </c>
      <c r="U38" s="33" t="s">
        <v>88</v>
      </c>
      <c r="V38" s="34">
        <v>40000</v>
      </c>
      <c r="X38" s="42" t="s">
        <v>95</v>
      </c>
      <c r="Y38" s="11" t="s">
        <v>94</v>
      </c>
      <c r="Z38" s="11">
        <f>SUMIFS(V36:V45,S36:S45,"Laptop",T36:T45,"Black",U36:U45,"South")</f>
        <v>45000</v>
      </c>
    </row>
    <row r="39" spans="1:26" x14ac:dyDescent="0.25">
      <c r="A39" t="s">
        <v>50</v>
      </c>
      <c r="B39" t="s">
        <v>51</v>
      </c>
      <c r="C39">
        <v>2004</v>
      </c>
      <c r="D39">
        <v>49.4</v>
      </c>
      <c r="E39">
        <v>64.599999999999994</v>
      </c>
      <c r="F39">
        <v>214.77449999999999</v>
      </c>
      <c r="G39">
        <v>29.1</v>
      </c>
      <c r="H39">
        <v>64.2</v>
      </c>
      <c r="I39" s="24">
        <f t="shared" si="0"/>
        <v>214.77</v>
      </c>
      <c r="J39" s="24">
        <f t="shared" si="1"/>
        <v>8.0374125189640466</v>
      </c>
      <c r="K39" s="24" t="str">
        <f t="shared" si="2"/>
        <v>Kir</v>
      </c>
      <c r="L39" s="24" t="str">
        <f t="shared" si="3"/>
        <v>nia</v>
      </c>
      <c r="M39" s="24">
        <f t="shared" si="4"/>
        <v>2</v>
      </c>
      <c r="N39" s="24">
        <f t="shared" si="5"/>
        <v>8</v>
      </c>
      <c r="O39" s="24">
        <f t="shared" si="6"/>
        <v>8</v>
      </c>
      <c r="R39" s="32">
        <v>46026</v>
      </c>
      <c r="S39" s="33" t="s">
        <v>86</v>
      </c>
      <c r="T39" s="33" t="s">
        <v>87</v>
      </c>
      <c r="U39" s="33" t="s">
        <v>82</v>
      </c>
      <c r="V39" s="36">
        <v>18000</v>
      </c>
    </row>
    <row r="40" spans="1:26" x14ac:dyDescent="0.25">
      <c r="A40" t="s">
        <v>52</v>
      </c>
      <c r="B40" t="s">
        <v>33</v>
      </c>
      <c r="C40">
        <v>2011</v>
      </c>
      <c r="D40">
        <v>12.2</v>
      </c>
      <c r="E40">
        <v>14.2</v>
      </c>
      <c r="F40">
        <v>154.45050000000001</v>
      </c>
      <c r="G40">
        <v>26.3</v>
      </c>
      <c r="H40">
        <v>72.7</v>
      </c>
      <c r="I40" s="24">
        <f t="shared" si="0"/>
        <v>154.44999999999999</v>
      </c>
      <c r="J40" s="24">
        <f t="shared" si="1"/>
        <v>3.7682887362833544</v>
      </c>
      <c r="K40" s="24" t="str">
        <f t="shared" si="2"/>
        <v>Sey</v>
      </c>
      <c r="L40" s="24" t="str">
        <f t="shared" si="3"/>
        <v>ica</v>
      </c>
      <c r="M40" s="24">
        <f t="shared" si="4"/>
        <v>1</v>
      </c>
      <c r="N40" s="24">
        <f t="shared" si="5"/>
        <v>10</v>
      </c>
      <c r="O40" s="24">
        <f t="shared" si="6"/>
        <v>3.8</v>
      </c>
      <c r="R40" s="32">
        <v>46027</v>
      </c>
      <c r="S40" s="33" t="s">
        <v>83</v>
      </c>
      <c r="T40" s="33" t="s">
        <v>84</v>
      </c>
      <c r="U40" s="33" t="s">
        <v>85</v>
      </c>
      <c r="V40" s="35">
        <v>27000</v>
      </c>
    </row>
    <row r="41" spans="1:26" ht="15.75" x14ac:dyDescent="0.25">
      <c r="R41" s="32">
        <v>46028</v>
      </c>
      <c r="S41" s="33" t="s">
        <v>80</v>
      </c>
      <c r="T41" s="33" t="s">
        <v>84</v>
      </c>
      <c r="U41" s="33" t="s">
        <v>85</v>
      </c>
      <c r="V41" s="35">
        <v>42000</v>
      </c>
      <c r="X41" s="11"/>
      <c r="Y41" s="41" t="s">
        <v>96</v>
      </c>
      <c r="Z41" s="11">
        <f>AVERAGE(V36:V45)</f>
        <v>30500</v>
      </c>
    </row>
    <row r="42" spans="1:26" x14ac:dyDescent="0.25">
      <c r="R42" s="32">
        <v>46029</v>
      </c>
      <c r="S42" s="33" t="s">
        <v>86</v>
      </c>
      <c r="T42" s="33" t="s">
        <v>87</v>
      </c>
      <c r="U42" s="33" t="s">
        <v>88</v>
      </c>
      <c r="V42" s="36">
        <v>19000</v>
      </c>
      <c r="X42" s="42" t="s">
        <v>97</v>
      </c>
      <c r="Y42" s="11" t="s">
        <v>98</v>
      </c>
      <c r="Z42" s="11">
        <f>AVERAGEIF(T36:T45,"Blue",V36:V45)</f>
        <v>28500</v>
      </c>
    </row>
    <row r="43" spans="1:26" x14ac:dyDescent="0.25">
      <c r="R43" s="32">
        <v>46030</v>
      </c>
      <c r="S43" s="33" t="s">
        <v>83</v>
      </c>
      <c r="T43" s="33" t="s">
        <v>81</v>
      </c>
      <c r="U43" s="33" t="s">
        <v>82</v>
      </c>
      <c r="V43" s="34">
        <v>26000</v>
      </c>
      <c r="X43" s="42" t="s">
        <v>99</v>
      </c>
      <c r="Y43" s="11" t="s">
        <v>100</v>
      </c>
      <c r="Z43" s="11">
        <f>AVERAGEIFS(V36:V45,T36:T45,"White",U36:U45,"East")</f>
        <v>19000</v>
      </c>
    </row>
    <row r="44" spans="1:26" x14ac:dyDescent="0.25">
      <c r="R44" s="32">
        <v>46031</v>
      </c>
      <c r="S44" s="33" t="s">
        <v>80</v>
      </c>
      <c r="T44" s="33" t="s">
        <v>89</v>
      </c>
      <c r="U44" s="33" t="s">
        <v>90</v>
      </c>
      <c r="V44" s="37">
        <v>43000</v>
      </c>
      <c r="X44" s="42" t="s">
        <v>99</v>
      </c>
      <c r="Y44" s="11" t="s">
        <v>101</v>
      </c>
      <c r="Z44" s="11">
        <f>AVERAGEIFS(V36:V45,T36:T45,"Blue",S36:S45,"Mobile",U36:U45,"North")</f>
        <v>26000</v>
      </c>
    </row>
    <row r="45" spans="1:26" x14ac:dyDescent="0.25">
      <c r="R45" s="38">
        <v>46032</v>
      </c>
      <c r="S45" s="39" t="s">
        <v>86</v>
      </c>
      <c r="T45" s="39" t="s">
        <v>84</v>
      </c>
      <c r="U45" s="39" t="s">
        <v>85</v>
      </c>
      <c r="V45" s="40">
        <v>20000</v>
      </c>
    </row>
    <row r="46" spans="1:26" x14ac:dyDescent="0.25">
      <c r="V46" s="3" t="s">
        <v>91</v>
      </c>
      <c r="W46">
        <f>SUM(V36:V45)</f>
        <v>305000</v>
      </c>
    </row>
    <row r="47" spans="1:26" ht="21" x14ac:dyDescent="0.35">
      <c r="E47" s="50" t="s">
        <v>138</v>
      </c>
    </row>
    <row r="49" spans="2:28" ht="15.75" x14ac:dyDescent="0.25">
      <c r="B49" s="1" t="s">
        <v>143</v>
      </c>
      <c r="C49" s="1" t="s">
        <v>0</v>
      </c>
      <c r="D49" s="1" t="s">
        <v>1</v>
      </c>
      <c r="E49" s="1" t="s">
        <v>2</v>
      </c>
      <c r="F49" s="51" t="s">
        <v>139</v>
      </c>
      <c r="G49" s="51" t="s">
        <v>140</v>
      </c>
      <c r="H49" s="51" t="s">
        <v>141</v>
      </c>
      <c r="I49" s="51" t="s">
        <v>144</v>
      </c>
      <c r="J49" s="51" t="s">
        <v>145</v>
      </c>
      <c r="K49" s="51" t="s">
        <v>146</v>
      </c>
      <c r="L49" s="51" t="s">
        <v>147</v>
      </c>
      <c r="M49" s="51" t="s">
        <v>148</v>
      </c>
    </row>
    <row r="50" spans="2:28" x14ac:dyDescent="0.25">
      <c r="B50">
        <v>1</v>
      </c>
      <c r="C50" t="s">
        <v>33</v>
      </c>
      <c r="D50" t="s">
        <v>14</v>
      </c>
      <c r="E50">
        <v>2015</v>
      </c>
      <c r="F50" s="11">
        <f>COUNT(E49:E104)</f>
        <v>35</v>
      </c>
      <c r="G50" s="11">
        <f>COUNTA(E49:E104)</f>
        <v>40</v>
      </c>
      <c r="H50" s="11">
        <f>COUNTBLANK(E50:E104)</f>
        <v>16</v>
      </c>
      <c r="I50" s="11">
        <f>AVERAGE(E50:E59)</f>
        <v>2008.5</v>
      </c>
      <c r="J50" s="11">
        <f>MEDIAN(E50:E104)</f>
        <v>45293</v>
      </c>
      <c r="K50" s="11">
        <f>MODE(E50:E104)</f>
        <v>2015</v>
      </c>
      <c r="L50" s="11">
        <f>CORREL(B50:B104,E50:E104)</f>
        <v>-0.40545499636454502</v>
      </c>
      <c r="M50" s="11">
        <f>_xlfn.STDEV.S(E50:E104)</f>
        <v>21749.170166995827</v>
      </c>
    </row>
    <row r="51" spans="2:28" ht="21" x14ac:dyDescent="0.35">
      <c r="B51">
        <v>2</v>
      </c>
      <c r="C51" t="s">
        <v>16</v>
      </c>
      <c r="D51" t="s">
        <v>15</v>
      </c>
      <c r="E51">
        <v>2015</v>
      </c>
      <c r="Q51" s="50" t="s">
        <v>137</v>
      </c>
      <c r="AB51" t="s">
        <v>122</v>
      </c>
    </row>
    <row r="52" spans="2:28" x14ac:dyDescent="0.25">
      <c r="B52">
        <v>3</v>
      </c>
      <c r="C52" t="s">
        <v>33</v>
      </c>
      <c r="D52" t="s">
        <v>16</v>
      </c>
      <c r="E52">
        <v>2007</v>
      </c>
    </row>
    <row r="53" spans="2:28" ht="15.75" x14ac:dyDescent="0.25">
      <c r="B53">
        <v>4</v>
      </c>
      <c r="C53" t="s">
        <v>33</v>
      </c>
      <c r="D53" t="s">
        <v>17</v>
      </c>
      <c r="E53">
        <v>2006</v>
      </c>
      <c r="R53" t="s">
        <v>80</v>
      </c>
      <c r="S53">
        <f>VLOOKUP(S41,S36:V45,4,0)</f>
        <v>45000</v>
      </c>
      <c r="U53" s="7" t="s">
        <v>107</v>
      </c>
      <c r="X53" s="7" t="s">
        <v>109</v>
      </c>
      <c r="Z53" s="7" t="s">
        <v>121</v>
      </c>
    </row>
    <row r="54" spans="2:28" x14ac:dyDescent="0.25">
      <c r="B54">
        <v>5</v>
      </c>
      <c r="C54" t="s">
        <v>16</v>
      </c>
      <c r="D54" t="s">
        <v>14</v>
      </c>
      <c r="E54">
        <v>2012</v>
      </c>
      <c r="Q54" s="8" t="s">
        <v>104</v>
      </c>
      <c r="R54" t="s">
        <v>86</v>
      </c>
      <c r="S54" t="str">
        <f>VLOOKUP(S42,S36:V45,2,0)</f>
        <v>White</v>
      </c>
      <c r="U54" t="s">
        <v>106</v>
      </c>
      <c r="V54">
        <f>MATCH(S61,S61:AB61,)</f>
        <v>1</v>
      </c>
      <c r="X54">
        <f>INDEX(S63:AB63,7)</f>
        <v>19000</v>
      </c>
      <c r="Z54">
        <f>_xlfn.XLOOKUP(S60,S60:AB60,S63:AB63)</f>
        <v>45000</v>
      </c>
    </row>
    <row r="55" spans="2:28" ht="15.75" x14ac:dyDescent="0.25">
      <c r="B55">
        <v>6</v>
      </c>
      <c r="C55" t="s">
        <v>33</v>
      </c>
      <c r="D55" t="s">
        <v>20</v>
      </c>
      <c r="E55">
        <v>2006</v>
      </c>
      <c r="G55" s="52" t="s">
        <v>149</v>
      </c>
      <c r="H55" s="51" t="s">
        <v>142</v>
      </c>
      <c r="R55" t="s">
        <v>83</v>
      </c>
      <c r="S55">
        <f>VLOOKUP(S43,S36:V45,4,0)</f>
        <v>25000</v>
      </c>
      <c r="U55" t="s">
        <v>108</v>
      </c>
      <c r="V55">
        <f>MATCH(U55,S60:AB60,0)</f>
        <v>1</v>
      </c>
      <c r="X55" t="str">
        <f>INDEX(S60:AB60,3)</f>
        <v>Laptop</v>
      </c>
      <c r="Z55">
        <f>_xlfn.XLOOKUP(T60,S60:AB60,S63:AB63)</f>
        <v>25000</v>
      </c>
    </row>
    <row r="56" spans="2:28" x14ac:dyDescent="0.25">
      <c r="B56">
        <v>7</v>
      </c>
      <c r="C56" t="s">
        <v>33</v>
      </c>
      <c r="D56" t="s">
        <v>22</v>
      </c>
      <c r="E56">
        <v>2015</v>
      </c>
      <c r="G56" t="s">
        <v>150</v>
      </c>
      <c r="H56" s="11">
        <f>COUNTIF(C50:C104,"Asia")</f>
        <v>4</v>
      </c>
      <c r="U56" t="s">
        <v>110</v>
      </c>
      <c r="V56">
        <f>MATCH(U56,S61:AB61,0)</f>
        <v>4</v>
      </c>
    </row>
    <row r="57" spans="2:28" x14ac:dyDescent="0.25">
      <c r="B57">
        <v>8</v>
      </c>
      <c r="C57" t="s">
        <v>66</v>
      </c>
      <c r="D57" t="s">
        <v>15</v>
      </c>
      <c r="E57">
        <v>2000</v>
      </c>
      <c r="G57">
        <v>2007</v>
      </c>
      <c r="H57">
        <f>COUNTIFS(E50:E79,E52)</f>
        <v>2</v>
      </c>
    </row>
    <row r="58" spans="2:28" ht="15.75" x14ac:dyDescent="0.25">
      <c r="B58">
        <v>9</v>
      </c>
      <c r="C58" t="s">
        <v>16</v>
      </c>
      <c r="D58" t="s">
        <v>14</v>
      </c>
      <c r="E58">
        <v>2001</v>
      </c>
      <c r="G58" t="s">
        <v>151</v>
      </c>
      <c r="H58">
        <f>COUNTIFS(D50:D64,D51)</f>
        <v>3</v>
      </c>
      <c r="I58" s="1"/>
      <c r="Q58" s="8" t="s">
        <v>105</v>
      </c>
    </row>
    <row r="59" spans="2:28" x14ac:dyDescent="0.25">
      <c r="B59">
        <v>10</v>
      </c>
      <c r="C59" t="s">
        <v>16</v>
      </c>
      <c r="D59" t="s">
        <v>22</v>
      </c>
      <c r="E59">
        <v>2008</v>
      </c>
      <c r="R59" s="43" t="s">
        <v>76</v>
      </c>
      <c r="S59" s="44" t="s">
        <v>111</v>
      </c>
      <c r="T59" s="44" t="s">
        <v>112</v>
      </c>
      <c r="U59" s="44" t="s">
        <v>113</v>
      </c>
      <c r="V59" s="44" t="s">
        <v>114</v>
      </c>
      <c r="W59" s="44" t="s">
        <v>115</v>
      </c>
      <c r="X59" s="44" t="s">
        <v>116</v>
      </c>
      <c r="Y59" s="44" t="s">
        <v>117</v>
      </c>
      <c r="Z59" s="44" t="s">
        <v>118</v>
      </c>
      <c r="AA59" s="44" t="s">
        <v>119</v>
      </c>
      <c r="AB59" s="22" t="s">
        <v>120</v>
      </c>
    </row>
    <row r="60" spans="2:28" x14ac:dyDescent="0.25">
      <c r="B60">
        <v>11</v>
      </c>
      <c r="C60" t="s">
        <v>33</v>
      </c>
      <c r="D60" t="s">
        <v>17</v>
      </c>
      <c r="E60">
        <v>2012</v>
      </c>
      <c r="R60" s="45" t="s">
        <v>77</v>
      </c>
      <c r="S60" s="33" t="s">
        <v>80</v>
      </c>
      <c r="T60" s="33" t="s">
        <v>83</v>
      </c>
      <c r="U60" s="33" t="s">
        <v>80</v>
      </c>
      <c r="V60" s="33" t="s">
        <v>86</v>
      </c>
      <c r="W60" s="33" t="s">
        <v>83</v>
      </c>
      <c r="X60" s="33" t="s">
        <v>80</v>
      </c>
      <c r="Y60" s="33" t="s">
        <v>86</v>
      </c>
      <c r="Z60" s="33" t="s">
        <v>83</v>
      </c>
      <c r="AA60" s="33" t="s">
        <v>80</v>
      </c>
      <c r="AB60" s="36" t="s">
        <v>86</v>
      </c>
    </row>
    <row r="61" spans="2:28" x14ac:dyDescent="0.25">
      <c r="B61">
        <v>12</v>
      </c>
      <c r="C61" t="s">
        <v>26</v>
      </c>
      <c r="D61" t="s">
        <v>15</v>
      </c>
      <c r="E61">
        <v>2007</v>
      </c>
      <c r="R61" s="45" t="s">
        <v>78</v>
      </c>
      <c r="S61" s="33" t="s">
        <v>81</v>
      </c>
      <c r="T61" s="33" t="s">
        <v>84</v>
      </c>
      <c r="U61" s="33" t="s">
        <v>81</v>
      </c>
      <c r="V61" s="33" t="s">
        <v>87</v>
      </c>
      <c r="W61" s="33" t="s">
        <v>84</v>
      </c>
      <c r="X61" s="33" t="s">
        <v>84</v>
      </c>
      <c r="Y61" s="33" t="s">
        <v>87</v>
      </c>
      <c r="Z61" s="33" t="s">
        <v>81</v>
      </c>
      <c r="AA61" s="33" t="s">
        <v>89</v>
      </c>
      <c r="AB61" s="36" t="s">
        <v>84</v>
      </c>
    </row>
    <row r="62" spans="2:28" x14ac:dyDescent="0.25">
      <c r="B62">
        <v>13</v>
      </c>
      <c r="C62" t="s">
        <v>27</v>
      </c>
      <c r="D62" t="s">
        <v>20</v>
      </c>
      <c r="E62">
        <v>2011</v>
      </c>
      <c r="R62" s="45" t="s">
        <v>1</v>
      </c>
      <c r="S62" s="33" t="s">
        <v>82</v>
      </c>
      <c r="T62" s="33" t="s">
        <v>85</v>
      </c>
      <c r="U62" s="33" t="s">
        <v>88</v>
      </c>
      <c r="V62" s="33" t="s">
        <v>82</v>
      </c>
      <c r="W62" s="33" t="s">
        <v>85</v>
      </c>
      <c r="X62" s="33" t="s">
        <v>85</v>
      </c>
      <c r="Y62" s="33" t="s">
        <v>88</v>
      </c>
      <c r="Z62" s="33" t="s">
        <v>82</v>
      </c>
      <c r="AA62" s="33" t="s">
        <v>90</v>
      </c>
      <c r="AB62" s="36" t="s">
        <v>85</v>
      </c>
    </row>
    <row r="63" spans="2:28" x14ac:dyDescent="0.25">
      <c r="B63">
        <v>14</v>
      </c>
      <c r="C63" t="s">
        <v>28</v>
      </c>
      <c r="D63" t="s">
        <v>22</v>
      </c>
      <c r="E63">
        <v>2002</v>
      </c>
      <c r="R63" s="46" t="s">
        <v>79</v>
      </c>
      <c r="S63" s="47">
        <v>45000</v>
      </c>
      <c r="T63" s="48">
        <v>25000</v>
      </c>
      <c r="U63" s="47">
        <v>40000</v>
      </c>
      <c r="V63" s="39">
        <v>18000</v>
      </c>
      <c r="W63" s="48">
        <v>27000</v>
      </c>
      <c r="X63" s="48">
        <v>42000</v>
      </c>
      <c r="Y63" s="39">
        <v>19000</v>
      </c>
      <c r="Z63" s="47">
        <v>26000</v>
      </c>
      <c r="AA63" s="49">
        <v>43000</v>
      </c>
      <c r="AB63" s="40">
        <v>20000</v>
      </c>
    </row>
    <row r="64" spans="2:28" x14ac:dyDescent="0.25">
      <c r="B64">
        <v>15</v>
      </c>
      <c r="C64" t="s">
        <v>29</v>
      </c>
      <c r="D64" t="s">
        <v>22</v>
      </c>
      <c r="E64">
        <v>2006</v>
      </c>
    </row>
    <row r="65" spans="2:29" x14ac:dyDescent="0.25">
      <c r="Q65" t="s">
        <v>80</v>
      </c>
      <c r="R65" s="6">
        <f>HLOOKUP(S60,S60:AB63,4,0)</f>
        <v>45000</v>
      </c>
    </row>
    <row r="66" spans="2:29" x14ac:dyDescent="0.25">
      <c r="Q66" t="s">
        <v>106</v>
      </c>
      <c r="R66">
        <f>HLOOKUP(T60,S60:AB63,4,0)</f>
        <v>25000</v>
      </c>
    </row>
    <row r="68" spans="2:29" ht="21" x14ac:dyDescent="0.35">
      <c r="Q68" s="50" t="s">
        <v>135</v>
      </c>
      <c r="V68" s="50" t="s">
        <v>136</v>
      </c>
    </row>
    <row r="69" spans="2:29" ht="23.25" x14ac:dyDescent="0.35">
      <c r="E69" s="59" t="s">
        <v>152</v>
      </c>
    </row>
    <row r="70" spans="2:29" x14ac:dyDescent="0.25">
      <c r="Q70" s="19" t="s">
        <v>123</v>
      </c>
      <c r="R70" s="20" t="s">
        <v>124</v>
      </c>
      <c r="S70" s="20" t="s">
        <v>125</v>
      </c>
      <c r="T70" s="21" t="s">
        <v>134</v>
      </c>
      <c r="V70" s="16" t="s">
        <v>126</v>
      </c>
      <c r="W70" s="17" t="s">
        <v>127</v>
      </c>
      <c r="X70" s="17" t="s">
        <v>128</v>
      </c>
      <c r="Y70" s="17" t="s">
        <v>129</v>
      </c>
      <c r="Z70" s="17" t="s">
        <v>130</v>
      </c>
      <c r="AA70" s="17" t="s">
        <v>131</v>
      </c>
      <c r="AB70" s="17" t="s">
        <v>132</v>
      </c>
      <c r="AC70" s="18" t="s">
        <v>133</v>
      </c>
    </row>
    <row r="71" spans="2:29" ht="21" x14ac:dyDescent="0.25">
      <c r="D71" s="56" t="s">
        <v>153</v>
      </c>
      <c r="E71" s="56" t="s">
        <v>154</v>
      </c>
      <c r="F71" s="56" t="s">
        <v>155</v>
      </c>
      <c r="Q71" s="10">
        <v>20</v>
      </c>
      <c r="R71" s="11" t="str">
        <f>IF(Table38[[#This Row],[AGE]]&gt;=18,"vote")</f>
        <v>vote</v>
      </c>
      <c r="S71" s="11" t="str">
        <f>IF(Table38[[#This Row],[AGE]]&lt;10,"under10",IF(Table38[[#This Row],[AGE]]&gt;15,"above 15","10-15"))</f>
        <v>above 15</v>
      </c>
      <c r="T71" s="12" t="str">
        <f>IF(Table38[[#This Row],[AGE]]&gt;=20,"20-30",IF(Table38[[#This Row],[AGE]]&gt;=30,"30-40",IF(Table38[[#This Row],[AGE]]&gt;=40,"above 40","below 20")))</f>
        <v>20-30</v>
      </c>
      <c r="V71" s="10">
        <v>60</v>
      </c>
      <c r="W71" s="11">
        <v>60</v>
      </c>
      <c r="X71" s="11" t="b">
        <f>AND(V71&gt;25,W71&gt;25)</f>
        <v>1</v>
      </c>
      <c r="Y71" s="11" t="b">
        <f>OR(V71&gt;25,W71&gt;25)</f>
        <v>1</v>
      </c>
      <c r="Z71" s="54" t="str">
        <f t="shared" ref="Z71:AA77" si="7">IF(X71,"Pass","Fail")</f>
        <v>Pass</v>
      </c>
      <c r="AA71" s="54" t="str">
        <f t="shared" si="7"/>
        <v>Pass</v>
      </c>
      <c r="AB71" s="11" t="b">
        <f>_xlfn.XOR(V71&gt;25,W71&gt;25)</f>
        <v>0</v>
      </c>
      <c r="AC71" s="12" t="b">
        <f>NOT(X71)</f>
        <v>0</v>
      </c>
    </row>
    <row r="72" spans="2:29" ht="60" customHeight="1" x14ac:dyDescent="0.25">
      <c r="D72" s="57" t="s">
        <v>156</v>
      </c>
      <c r="E72" s="11"/>
      <c r="F72" s="58">
        <v>15562000</v>
      </c>
      <c r="Q72" s="10">
        <v>16</v>
      </c>
      <c r="R72" s="11" t="str">
        <f>IF(Table38[[#This Row],[AGE]]&gt;=18,"vote","no vote")</f>
        <v>no vote</v>
      </c>
      <c r="S72" s="11" t="str">
        <f>IF(Table38[[#This Row],[AGE]]&lt;10,"under10",IF(Table38[[#This Row],[AGE]]&gt;15,"above 15","10-15"))</f>
        <v>above 15</v>
      </c>
      <c r="T72" s="12" t="str">
        <f>IF(Table38[[#This Row],[AGE]]&gt;=20,"20-30",IF(Table38[[#This Row],[AGE]]&gt;=30,"30-40",IF(Table38[[#This Row],[AGE]]&gt;=40,"above 40","below 20")))</f>
        <v>below 20</v>
      </c>
      <c r="V72" s="10">
        <v>50</v>
      </c>
      <c r="W72" s="11">
        <v>85</v>
      </c>
      <c r="X72" s="11" t="b">
        <f t="shared" ref="X72:X77" si="8">AND(V72&gt;25,W72&gt;25)</f>
        <v>1</v>
      </c>
      <c r="Y72" s="11" t="b">
        <f t="shared" ref="Y72:Y77" si="9">OR(V72&gt;25,W72&gt;25)</f>
        <v>1</v>
      </c>
      <c r="Z72" s="54" t="str">
        <f t="shared" si="7"/>
        <v>Pass</v>
      </c>
      <c r="AA72" s="54" t="str">
        <f t="shared" si="7"/>
        <v>Pass</v>
      </c>
      <c r="AB72" s="11" t="b">
        <f t="shared" ref="AB72:AB77" si="10">_xlfn.XOR(V72&gt;25,W72&gt;25)</f>
        <v>0</v>
      </c>
      <c r="AC72" s="12" t="b">
        <f t="shared" ref="AC72:AC77" si="11">NOT(X72)</f>
        <v>0</v>
      </c>
    </row>
    <row r="73" spans="2:29" ht="60" customHeight="1" x14ac:dyDescent="0.25">
      <c r="D73" s="57" t="s">
        <v>159</v>
      </c>
      <c r="E73" s="11"/>
      <c r="F73" s="58">
        <v>14589232</v>
      </c>
      <c r="Q73" s="10">
        <v>23</v>
      </c>
      <c r="R73" s="11" t="str">
        <f>IF(Table38[[#This Row],[AGE]]&gt;=18,"vote","no vote")</f>
        <v>vote</v>
      </c>
      <c r="S73" s="11" t="str">
        <f>IF(Table38[[#This Row],[AGE]]&lt;10,"under10",IF(Table38[[#This Row],[AGE]]&gt;15,"above 15","10-15"))</f>
        <v>above 15</v>
      </c>
      <c r="T73" s="12" t="str">
        <f>IF(Table38[[#This Row],[AGE]]&gt;=20,"20-30",IF(Table38[[#This Row],[AGE]]&gt;=30,"30-40",IF(Table38[[#This Row],[AGE]]&gt;=40,"above 40","below 20")))</f>
        <v>20-30</v>
      </c>
      <c r="V73" s="10">
        <v>84</v>
      </c>
      <c r="W73" s="11">
        <v>80</v>
      </c>
      <c r="X73" s="11" t="b">
        <f t="shared" si="8"/>
        <v>1</v>
      </c>
      <c r="Y73" s="11" t="b">
        <f t="shared" si="9"/>
        <v>1</v>
      </c>
      <c r="Z73" s="54" t="str">
        <f t="shared" si="7"/>
        <v>Pass</v>
      </c>
      <c r="AA73" s="54" t="str">
        <f t="shared" si="7"/>
        <v>Pass</v>
      </c>
      <c r="AB73" s="11" t="b">
        <f t="shared" si="10"/>
        <v>0</v>
      </c>
      <c r="AC73" s="12" t="b">
        <f t="shared" si="11"/>
        <v>0</v>
      </c>
    </row>
    <row r="74" spans="2:29" ht="60.75" customHeight="1" x14ac:dyDescent="0.25">
      <c r="D74" s="57" t="s">
        <v>158</v>
      </c>
      <c r="E74" s="11"/>
      <c r="F74" s="58">
        <v>789523224</v>
      </c>
      <c r="Q74" s="10">
        <v>14</v>
      </c>
      <c r="R74" s="11" t="str">
        <f>IF(Table38[[#This Row],[AGE]]&gt;=18,"vote","no vote")</f>
        <v>no vote</v>
      </c>
      <c r="S74" s="11" t="str">
        <f>IF(Table38[[#This Row],[AGE]]&lt;10,"under10",IF(Table38[[#This Row],[AGE]]&gt;15,"above 15","10-15"))</f>
        <v>10-15</v>
      </c>
      <c r="T74" s="12" t="str">
        <f>IF(Table38[[#This Row],[AGE]]&gt;=20,"20-30",IF(Table38[[#This Row],[AGE]]&gt;=30,"30-40",IF(Table38[[#This Row],[AGE]]&gt;=40,"above 40","below 20")))</f>
        <v>below 20</v>
      </c>
      <c r="V74" s="10">
        <v>85</v>
      </c>
      <c r="W74" s="11">
        <v>25</v>
      </c>
      <c r="X74" s="11" t="b">
        <f t="shared" si="8"/>
        <v>0</v>
      </c>
      <c r="Y74" s="11" t="b">
        <f t="shared" si="9"/>
        <v>1</v>
      </c>
      <c r="Z74" s="53" t="str">
        <f t="shared" si="7"/>
        <v>Fail</v>
      </c>
      <c r="AA74" s="54" t="str">
        <f t="shared" si="7"/>
        <v>Pass</v>
      </c>
      <c r="AB74" s="11" t="b">
        <f t="shared" si="10"/>
        <v>1</v>
      </c>
      <c r="AC74" s="12" t="b">
        <f t="shared" si="11"/>
        <v>1</v>
      </c>
    </row>
    <row r="75" spans="2:29" ht="60" customHeight="1" x14ac:dyDescent="0.25">
      <c r="D75" s="57" t="s">
        <v>157</v>
      </c>
      <c r="E75" s="11"/>
      <c r="F75" s="58">
        <v>46621654</v>
      </c>
      <c r="G75" s="2"/>
      <c r="Q75" s="10">
        <v>15</v>
      </c>
      <c r="R75" s="11" t="str">
        <f>IF(Table38[[#This Row],[AGE]]&gt;=18,"vote","no vote")</f>
        <v>no vote</v>
      </c>
      <c r="S75" s="11" t="str">
        <f>IF(Table38[[#This Row],[AGE]]&lt;10,"under10",IF(Table38[[#This Row],[AGE]]&gt;15,"above 15","10-15"))</f>
        <v>10-15</v>
      </c>
      <c r="T75" s="12" t="str">
        <f>IF(Table38[[#This Row],[AGE]]&gt;=20,"20-30",IF(Table38[[#This Row],[AGE]]&gt;=30,"30-40",IF(Table38[[#This Row],[AGE]]&gt;=40,"above 40","below 20")))</f>
        <v>below 20</v>
      </c>
      <c r="V75" s="10">
        <v>30</v>
      </c>
      <c r="W75" s="11">
        <v>20</v>
      </c>
      <c r="X75" s="11" t="b">
        <f t="shared" si="8"/>
        <v>0</v>
      </c>
      <c r="Y75" s="11" t="b">
        <f t="shared" si="9"/>
        <v>1</v>
      </c>
      <c r="Z75" s="53" t="str">
        <f t="shared" si="7"/>
        <v>Fail</v>
      </c>
      <c r="AA75" s="54" t="str">
        <f t="shared" si="7"/>
        <v>Pass</v>
      </c>
      <c r="AB75" s="11" t="b">
        <f t="shared" si="10"/>
        <v>1</v>
      </c>
      <c r="AC75" s="12" t="b">
        <f t="shared" si="11"/>
        <v>1</v>
      </c>
    </row>
    <row r="76" spans="2:29" ht="26.25" customHeight="1" x14ac:dyDescent="0.25">
      <c r="Q76" s="10">
        <v>25</v>
      </c>
      <c r="R76" s="11" t="str">
        <f>IF(Table38[[#This Row],[AGE]]&gt;=18,"vote","no vote")</f>
        <v>vote</v>
      </c>
      <c r="S76" s="11" t="str">
        <f>IF(Table38[[#This Row],[AGE]]&lt;10,"under10",IF(Table38[[#This Row],[AGE]]&gt;15,"above 15","10-15"))</f>
        <v>above 15</v>
      </c>
      <c r="T76" s="12" t="str">
        <f>IF(Table38[[#This Row],[AGE]]&gt;=20,"20-30",IF(Table38[[#This Row],[AGE]]&gt;=30,"30-40",IF(Table38[[#This Row],[AGE]]&gt;=40,"above 40","below 20")))</f>
        <v>20-30</v>
      </c>
      <c r="V76" s="10">
        <v>35</v>
      </c>
      <c r="W76" s="11">
        <v>60</v>
      </c>
      <c r="X76" s="11" t="b">
        <f t="shared" si="8"/>
        <v>1</v>
      </c>
      <c r="Y76" s="11" t="b">
        <f t="shared" si="9"/>
        <v>1</v>
      </c>
      <c r="Z76" s="54" t="str">
        <f t="shared" si="7"/>
        <v>Pass</v>
      </c>
      <c r="AA76" s="54" t="str">
        <f t="shared" si="7"/>
        <v>Pass</v>
      </c>
      <c r="AB76" s="11" t="b">
        <f t="shared" si="10"/>
        <v>0</v>
      </c>
      <c r="AC76" s="12" t="b">
        <f t="shared" si="11"/>
        <v>0</v>
      </c>
    </row>
    <row r="77" spans="2:29" x14ac:dyDescent="0.25">
      <c r="Q77" s="13">
        <v>80</v>
      </c>
      <c r="R77" s="14" t="str">
        <f>IF(Table38[[#This Row],[AGE]]&gt;=18,"vote","no vote")</f>
        <v>vote</v>
      </c>
      <c r="S77" s="14" t="str">
        <f>IF(Table38[[#This Row],[AGE]]&lt;10,"under10",IF(Table38[[#This Row],[AGE]]&gt;15,"above 15","10-15"))</f>
        <v>above 15</v>
      </c>
      <c r="T77" s="15" t="str">
        <f>IF(Table38[[#This Row],[AGE]]&gt;=20,"20-30",IF(Table38[[#This Row],[AGE]]&gt;=30,"30-40",IF(Table38[[#This Row],[AGE]]&gt;=40,"above 40","below 20")))</f>
        <v>20-30</v>
      </c>
      <c r="V77" s="13">
        <v>40</v>
      </c>
      <c r="W77" s="14">
        <v>50</v>
      </c>
      <c r="X77" s="14" t="b">
        <f t="shared" si="8"/>
        <v>1</v>
      </c>
      <c r="Y77" s="14" t="b">
        <f t="shared" si="9"/>
        <v>1</v>
      </c>
      <c r="Z77" s="55" t="str">
        <f t="shared" si="7"/>
        <v>Pass</v>
      </c>
      <c r="AA77" s="54" t="str">
        <f t="shared" si="7"/>
        <v>Pass</v>
      </c>
      <c r="AB77" s="14" t="b">
        <f t="shared" si="10"/>
        <v>0</v>
      </c>
      <c r="AC77" s="15" t="b">
        <f t="shared" si="11"/>
        <v>0</v>
      </c>
    </row>
    <row r="80" spans="2:29" ht="28.5" x14ac:dyDescent="0.25">
      <c r="B80" s="68"/>
      <c r="C80" s="68"/>
      <c r="D80" s="68"/>
      <c r="E80" s="69" t="s">
        <v>160</v>
      </c>
      <c r="F80" s="68"/>
      <c r="G80" s="68"/>
      <c r="H80" s="68"/>
      <c r="I80" s="70"/>
      <c r="J80" s="70"/>
      <c r="K80" s="70"/>
    </row>
    <row r="81" spans="2:24" ht="15.75" x14ac:dyDescent="0.25">
      <c r="B81" s="60" t="s">
        <v>161</v>
      </c>
      <c r="C81" s="60" t="s">
        <v>162</v>
      </c>
      <c r="D81" s="60" t="s">
        <v>163</v>
      </c>
      <c r="E81" s="60" t="s">
        <v>164</v>
      </c>
      <c r="F81" s="60" t="s">
        <v>165</v>
      </c>
      <c r="G81" s="60" t="s">
        <v>166</v>
      </c>
      <c r="H81" s="60" t="s">
        <v>167</v>
      </c>
      <c r="I81" s="60" t="s">
        <v>214</v>
      </c>
      <c r="J81" s="66" t="s">
        <v>215</v>
      </c>
      <c r="K81" s="66" t="s">
        <v>227</v>
      </c>
      <c r="M81" s="81" t="s">
        <v>216</v>
      </c>
      <c r="N81" s="82">
        <v>0</v>
      </c>
      <c r="O81" s="83">
        <v>0</v>
      </c>
      <c r="P81" s="81" t="s">
        <v>217</v>
      </c>
      <c r="Q81" s="84">
        <v>0</v>
      </c>
      <c r="R81" s="81" t="s">
        <v>218</v>
      </c>
      <c r="S81" s="85" t="s">
        <v>221</v>
      </c>
      <c r="T81" s="85" t="s">
        <v>222</v>
      </c>
      <c r="U81" s="85" t="s">
        <v>223</v>
      </c>
      <c r="V81" s="85" t="s">
        <v>224</v>
      </c>
      <c r="W81" s="85" t="s">
        <v>225</v>
      </c>
      <c r="X81" s="85" t="s">
        <v>226</v>
      </c>
    </row>
    <row r="82" spans="2:24" ht="18" thickBot="1" x14ac:dyDescent="0.3">
      <c r="B82" s="61" t="s">
        <v>168</v>
      </c>
      <c r="C82" s="61" t="s">
        <v>169</v>
      </c>
      <c r="D82" s="61" t="s">
        <v>170</v>
      </c>
      <c r="E82" s="62">
        <v>45292</v>
      </c>
      <c r="F82" s="63">
        <v>13</v>
      </c>
      <c r="G82" s="62">
        <v>45305</v>
      </c>
      <c r="H82" s="64">
        <v>0.78</v>
      </c>
      <c r="I82" s="61">
        <v>125000</v>
      </c>
      <c r="J82" s="67">
        <v>125000</v>
      </c>
      <c r="K82" s="67" t="s">
        <v>228</v>
      </c>
      <c r="M82" s="86">
        <v>13</v>
      </c>
      <c r="N82" s="71">
        <v>13</v>
      </c>
      <c r="O82" s="72">
        <v>13</v>
      </c>
      <c r="P82" s="74">
        <v>13</v>
      </c>
      <c r="Q82" s="73">
        <v>13</v>
      </c>
      <c r="R82" s="75">
        <v>13</v>
      </c>
      <c r="S82" s="76">
        <v>13</v>
      </c>
      <c r="T82" s="77">
        <v>13</v>
      </c>
      <c r="U82" s="78">
        <v>13</v>
      </c>
      <c r="V82" s="79">
        <v>13</v>
      </c>
      <c r="W82" s="87">
        <v>13</v>
      </c>
      <c r="X82" s="80">
        <v>13</v>
      </c>
    </row>
    <row r="83" spans="2:24" ht="18.75" thickTop="1" thickBot="1" x14ac:dyDescent="0.3">
      <c r="B83" s="61" t="s">
        <v>168</v>
      </c>
      <c r="C83" s="61" t="s">
        <v>171</v>
      </c>
      <c r="D83" s="61" t="s">
        <v>172</v>
      </c>
      <c r="E83" s="62">
        <v>45305</v>
      </c>
      <c r="F83" s="63">
        <v>14</v>
      </c>
      <c r="G83" s="62">
        <v>45319</v>
      </c>
      <c r="H83" s="64">
        <v>1</v>
      </c>
      <c r="I83" s="61">
        <v>180000</v>
      </c>
      <c r="J83" s="67">
        <v>180000</v>
      </c>
      <c r="K83" s="67" t="s">
        <v>229</v>
      </c>
      <c r="M83" s="86">
        <v>3.3</v>
      </c>
      <c r="N83" s="71">
        <v>3.3</v>
      </c>
      <c r="O83" s="72">
        <v>3.3</v>
      </c>
      <c r="P83" s="74">
        <v>3.3</v>
      </c>
      <c r="Q83" s="73">
        <v>3.3</v>
      </c>
      <c r="R83" s="75">
        <v>3.3</v>
      </c>
      <c r="S83" s="76">
        <v>3.3</v>
      </c>
      <c r="T83" s="77">
        <v>3.3</v>
      </c>
      <c r="U83" s="78">
        <v>3.3</v>
      </c>
      <c r="V83" s="79">
        <v>3.3</v>
      </c>
      <c r="W83" s="87">
        <v>3.3</v>
      </c>
      <c r="X83" s="80">
        <v>3.3</v>
      </c>
    </row>
    <row r="84" spans="2:24" ht="18.75" thickTop="1" thickBot="1" x14ac:dyDescent="0.3">
      <c r="B84" s="61" t="s">
        <v>168</v>
      </c>
      <c r="C84" s="61" t="s">
        <v>173</v>
      </c>
      <c r="D84" s="61" t="s">
        <v>174</v>
      </c>
      <c r="E84" s="62">
        <v>45319</v>
      </c>
      <c r="F84" s="63">
        <v>22</v>
      </c>
      <c r="G84" s="62">
        <v>45341</v>
      </c>
      <c r="H84" s="64">
        <v>0.45</v>
      </c>
      <c r="I84" s="61">
        <v>220000</v>
      </c>
      <c r="J84" s="67">
        <v>220000</v>
      </c>
      <c r="K84" s="67" t="s">
        <v>229</v>
      </c>
      <c r="M84" s="86">
        <v>-67.900000000000006</v>
      </c>
      <c r="N84" s="71">
        <v>-67.900000000000006</v>
      </c>
      <c r="O84" s="72">
        <v>-67.900000000000006</v>
      </c>
      <c r="P84" s="74">
        <v>-67.900000000000006</v>
      </c>
      <c r="Q84" s="73">
        <v>-67.900000000000006</v>
      </c>
      <c r="R84" s="75">
        <v>-67.900000000000006</v>
      </c>
      <c r="S84" s="76">
        <v>-67.900000000000006</v>
      </c>
      <c r="T84" s="77">
        <v>-67.900000000000006</v>
      </c>
      <c r="U84" s="78">
        <v>-67.900000000000006</v>
      </c>
      <c r="V84" s="79">
        <v>-67.900000000000006</v>
      </c>
      <c r="W84" s="87">
        <v>-67.900000000000006</v>
      </c>
      <c r="X84" s="80">
        <v>-67.900000000000006</v>
      </c>
    </row>
    <row r="85" spans="2:24" ht="18.75" thickTop="1" thickBot="1" x14ac:dyDescent="0.3">
      <c r="B85" s="61" t="s">
        <v>168</v>
      </c>
      <c r="C85" s="61" t="s">
        <v>175</v>
      </c>
      <c r="D85" s="61" t="s">
        <v>176</v>
      </c>
      <c r="E85" s="62">
        <v>45340</v>
      </c>
      <c r="F85" s="63">
        <v>25</v>
      </c>
      <c r="G85" s="62">
        <v>45365</v>
      </c>
      <c r="H85" s="64">
        <v>0</v>
      </c>
      <c r="I85" s="61">
        <v>275000</v>
      </c>
      <c r="J85" s="67">
        <v>275000</v>
      </c>
      <c r="K85" s="67" t="s">
        <v>228</v>
      </c>
      <c r="M85" s="86">
        <v>-40.049999999999997</v>
      </c>
      <c r="N85" s="71">
        <v>-40.049999999999997</v>
      </c>
      <c r="O85" s="72">
        <v>-40.049999999999997</v>
      </c>
      <c r="P85" s="74">
        <v>-40.049999999999997</v>
      </c>
      <c r="Q85" s="73">
        <v>-40.049999999999997</v>
      </c>
      <c r="R85" s="75">
        <v>-40.049999999999997</v>
      </c>
      <c r="S85" s="76">
        <v>-40.049999999999997</v>
      </c>
      <c r="T85" s="77">
        <v>-40.049999999999997</v>
      </c>
      <c r="U85" s="78">
        <v>-40.049999999999997</v>
      </c>
      <c r="V85" s="79">
        <v>-40.049999999999997</v>
      </c>
      <c r="W85" s="87">
        <v>-40.049999999999997</v>
      </c>
      <c r="X85" s="80">
        <v>-40.049999999999997</v>
      </c>
    </row>
    <row r="86" spans="2:24" ht="18.75" thickTop="1" thickBot="1" x14ac:dyDescent="0.3">
      <c r="B86" s="61" t="s">
        <v>177</v>
      </c>
      <c r="C86" s="61" t="s">
        <v>178</v>
      </c>
      <c r="D86" s="61" t="s">
        <v>179</v>
      </c>
      <c r="E86" s="62">
        <v>45293</v>
      </c>
      <c r="F86" s="63">
        <v>18</v>
      </c>
      <c r="G86" s="62">
        <v>45311</v>
      </c>
      <c r="H86" s="64">
        <v>1</v>
      </c>
      <c r="I86" s="61">
        <v>450000</v>
      </c>
      <c r="J86" s="67">
        <v>450000</v>
      </c>
      <c r="K86" s="67" t="s">
        <v>229</v>
      </c>
      <c r="M86" s="86">
        <v>4.3</v>
      </c>
      <c r="N86" s="71">
        <v>4.3</v>
      </c>
      <c r="O86" s="72">
        <v>4.3</v>
      </c>
      <c r="P86" s="74">
        <v>4.3</v>
      </c>
      <c r="Q86" s="73">
        <v>4.3</v>
      </c>
      <c r="R86" s="75">
        <v>4.3</v>
      </c>
      <c r="S86" s="76">
        <v>4.3</v>
      </c>
      <c r="T86" s="77">
        <v>4.3</v>
      </c>
      <c r="U86" s="78">
        <v>4.3</v>
      </c>
      <c r="V86" s="79">
        <v>4.3</v>
      </c>
      <c r="W86" s="87">
        <v>4.3</v>
      </c>
      <c r="X86" s="80">
        <v>4.3</v>
      </c>
    </row>
    <row r="87" spans="2:24" ht="18.75" thickTop="1" thickBot="1" x14ac:dyDescent="0.3">
      <c r="B87" s="61" t="s">
        <v>177</v>
      </c>
      <c r="C87" s="61" t="s">
        <v>180</v>
      </c>
      <c r="D87" s="61" t="s">
        <v>181</v>
      </c>
      <c r="E87" s="62">
        <v>45311</v>
      </c>
      <c r="F87" s="63">
        <v>10</v>
      </c>
      <c r="G87" s="62">
        <v>45321</v>
      </c>
      <c r="H87" s="64">
        <v>0.78</v>
      </c>
      <c r="I87" s="61">
        <v>320000</v>
      </c>
      <c r="J87" s="67">
        <v>320000</v>
      </c>
      <c r="K87" s="67" t="s">
        <v>229</v>
      </c>
      <c r="M87" s="86">
        <v>11.2</v>
      </c>
      <c r="N87" s="71">
        <v>11.2</v>
      </c>
      <c r="O87" s="72">
        <v>11.2</v>
      </c>
      <c r="P87" s="74">
        <v>11.2</v>
      </c>
      <c r="Q87" s="73">
        <v>11.2</v>
      </c>
      <c r="R87" s="75">
        <v>11.2</v>
      </c>
      <c r="S87" s="76">
        <v>11.2</v>
      </c>
      <c r="T87" s="77">
        <v>11.2</v>
      </c>
      <c r="U87" s="78">
        <v>11.2</v>
      </c>
      <c r="V87" s="79">
        <v>11.2</v>
      </c>
      <c r="W87" s="87">
        <v>11.2</v>
      </c>
      <c r="X87" s="80">
        <v>11.2</v>
      </c>
    </row>
    <row r="88" spans="2:24" ht="18.75" thickTop="1" thickBot="1" x14ac:dyDescent="0.3">
      <c r="B88" s="61" t="s">
        <v>177</v>
      </c>
      <c r="C88" s="61" t="s">
        <v>182</v>
      </c>
      <c r="D88" s="61" t="s">
        <v>183</v>
      </c>
      <c r="E88" s="62">
        <v>45326</v>
      </c>
      <c r="F88" s="63">
        <v>25</v>
      </c>
      <c r="G88" s="62">
        <v>45351</v>
      </c>
      <c r="H88" s="64">
        <v>0</v>
      </c>
      <c r="I88" s="61">
        <v>380000</v>
      </c>
      <c r="J88" s="67">
        <v>380000</v>
      </c>
      <c r="K88" s="67" t="s">
        <v>228</v>
      </c>
      <c r="M88" s="86">
        <v>8.1999999999999993</v>
      </c>
      <c r="N88" s="71">
        <v>8.1999999999999993</v>
      </c>
      <c r="O88" s="72">
        <v>8.1999999999999993</v>
      </c>
      <c r="P88" s="74">
        <v>8.1999999999999993</v>
      </c>
      <c r="Q88" s="73">
        <v>8.1999999999999993</v>
      </c>
      <c r="R88" s="75">
        <v>8.1999999999999993</v>
      </c>
      <c r="S88" s="76">
        <v>8.1999999999999993</v>
      </c>
      <c r="T88" s="77">
        <v>8.1999999999999993</v>
      </c>
      <c r="U88" s="78">
        <v>8.1999999999999993</v>
      </c>
      <c r="V88" s="79">
        <v>8.1999999999999993</v>
      </c>
      <c r="W88" s="87">
        <v>8.1999999999999993</v>
      </c>
      <c r="X88" s="80">
        <v>8.1999999999999993</v>
      </c>
    </row>
    <row r="89" spans="2:24" ht="18.75" thickTop="1" thickBot="1" x14ac:dyDescent="0.3">
      <c r="B89" s="61" t="s">
        <v>184</v>
      </c>
      <c r="C89" s="61" t="s">
        <v>185</v>
      </c>
      <c r="D89" s="61" t="s">
        <v>186</v>
      </c>
      <c r="E89" s="62">
        <v>45323</v>
      </c>
      <c r="F89" s="63">
        <v>22</v>
      </c>
      <c r="G89" s="62">
        <v>45345</v>
      </c>
      <c r="H89" s="64">
        <v>1</v>
      </c>
      <c r="I89" s="61">
        <v>150000</v>
      </c>
      <c r="J89" s="67">
        <v>150000</v>
      </c>
      <c r="K89" s="67" t="s">
        <v>228</v>
      </c>
      <c r="M89" s="86">
        <v>-10.1</v>
      </c>
      <c r="N89" s="71">
        <v>-10.1</v>
      </c>
      <c r="O89" s="72">
        <v>-10.1</v>
      </c>
      <c r="P89" s="74">
        <v>-10.1</v>
      </c>
      <c r="Q89" s="73">
        <v>-10.1</v>
      </c>
      <c r="R89" s="75">
        <v>-10.1</v>
      </c>
      <c r="S89" s="76">
        <v>-10.1</v>
      </c>
      <c r="T89" s="77">
        <v>-10.1</v>
      </c>
      <c r="U89" s="78">
        <v>-10.1</v>
      </c>
      <c r="V89" s="79">
        <v>-10.1</v>
      </c>
      <c r="W89" s="87">
        <v>-10.1</v>
      </c>
      <c r="X89" s="80">
        <v>-10.1</v>
      </c>
    </row>
    <row r="90" spans="2:24" ht="18.75" thickTop="1" thickBot="1" x14ac:dyDescent="0.3">
      <c r="B90" s="61" t="s">
        <v>184</v>
      </c>
      <c r="C90" s="61" t="s">
        <v>187</v>
      </c>
      <c r="D90" s="61" t="s">
        <v>188</v>
      </c>
      <c r="E90" s="62">
        <v>45346</v>
      </c>
      <c r="F90" s="63">
        <v>25</v>
      </c>
      <c r="G90" s="62">
        <v>45371</v>
      </c>
      <c r="H90" s="64">
        <v>1</v>
      </c>
      <c r="I90" s="61">
        <v>120000</v>
      </c>
      <c r="J90" s="67">
        <v>120000</v>
      </c>
      <c r="K90" s="67" t="s">
        <v>228</v>
      </c>
      <c r="M90" s="86">
        <v>26.1</v>
      </c>
      <c r="N90" s="71">
        <v>26.1</v>
      </c>
      <c r="O90" s="72">
        <v>26.1</v>
      </c>
      <c r="P90" s="74">
        <v>26.1</v>
      </c>
      <c r="Q90" s="73">
        <v>26.1</v>
      </c>
      <c r="R90" s="75">
        <v>26.1</v>
      </c>
      <c r="S90" s="76">
        <v>26.1</v>
      </c>
      <c r="T90" s="77">
        <v>26.1</v>
      </c>
      <c r="U90" s="78">
        <v>26.1</v>
      </c>
      <c r="V90" s="79">
        <v>26.1</v>
      </c>
      <c r="W90" s="87">
        <v>26.1</v>
      </c>
      <c r="X90" s="80">
        <v>26.1</v>
      </c>
    </row>
    <row r="91" spans="2:24" ht="18.75" thickTop="1" thickBot="1" x14ac:dyDescent="0.3">
      <c r="B91" s="61" t="s">
        <v>184</v>
      </c>
      <c r="C91" s="61" t="s">
        <v>189</v>
      </c>
      <c r="D91" s="61" t="s">
        <v>190</v>
      </c>
      <c r="E91" s="62">
        <v>45372</v>
      </c>
      <c r="F91" s="63">
        <v>30</v>
      </c>
      <c r="G91" s="62">
        <v>45402</v>
      </c>
      <c r="H91" s="64">
        <v>0</v>
      </c>
      <c r="I91" s="61">
        <v>175000</v>
      </c>
      <c r="J91" s="67">
        <v>175000</v>
      </c>
      <c r="K91" s="67" t="s">
        <v>229</v>
      </c>
      <c r="M91" s="86">
        <v>17.8</v>
      </c>
      <c r="N91" s="71">
        <v>17.8</v>
      </c>
      <c r="O91" s="72">
        <v>17.8</v>
      </c>
      <c r="P91" s="74">
        <v>17.8</v>
      </c>
      <c r="Q91" s="73">
        <v>17.8</v>
      </c>
      <c r="R91" s="75">
        <v>17.8</v>
      </c>
      <c r="S91" s="76">
        <v>17.8</v>
      </c>
      <c r="T91" s="77">
        <v>17.8</v>
      </c>
      <c r="U91" s="78">
        <v>17.8</v>
      </c>
      <c r="V91" s="79">
        <v>17.8</v>
      </c>
      <c r="W91" s="87">
        <v>17.8</v>
      </c>
      <c r="X91" s="80">
        <v>17.8</v>
      </c>
    </row>
    <row r="92" spans="2:24" ht="18.75" thickTop="1" thickBot="1" x14ac:dyDescent="0.3">
      <c r="B92" s="61" t="s">
        <v>191</v>
      </c>
      <c r="C92" s="61" t="s">
        <v>192</v>
      </c>
      <c r="D92" s="61" t="s">
        <v>193</v>
      </c>
      <c r="E92" s="62">
        <v>45324</v>
      </c>
      <c r="F92" s="63">
        <v>22</v>
      </c>
      <c r="G92" s="62">
        <v>45346</v>
      </c>
      <c r="H92" s="64">
        <v>0.1</v>
      </c>
      <c r="I92" s="61">
        <v>500000</v>
      </c>
      <c r="J92" s="67">
        <v>500000</v>
      </c>
      <c r="K92" s="67" t="s">
        <v>228</v>
      </c>
      <c r="M92" s="86">
        <v>-17.2</v>
      </c>
      <c r="N92" s="71">
        <v>-17.2</v>
      </c>
      <c r="O92" s="72">
        <v>-17.2</v>
      </c>
      <c r="P92" s="74">
        <v>-17.2</v>
      </c>
      <c r="Q92" s="73">
        <v>-17.2</v>
      </c>
      <c r="R92" s="75">
        <v>-17.2</v>
      </c>
      <c r="S92" s="76">
        <v>-17.2</v>
      </c>
      <c r="T92" s="77">
        <v>-17.2</v>
      </c>
      <c r="U92" s="78">
        <v>-17.2</v>
      </c>
      <c r="V92" s="79">
        <v>-17.2</v>
      </c>
      <c r="W92" s="87">
        <v>-17.2</v>
      </c>
      <c r="X92" s="80">
        <v>-17.2</v>
      </c>
    </row>
    <row r="93" spans="2:24" ht="18.75" thickTop="1" thickBot="1" x14ac:dyDescent="0.3">
      <c r="B93" s="61" t="s">
        <v>191</v>
      </c>
      <c r="C93" s="61" t="s">
        <v>194</v>
      </c>
      <c r="D93" s="61" t="s">
        <v>195</v>
      </c>
      <c r="E93" s="62">
        <v>45335</v>
      </c>
      <c r="F93" s="63">
        <v>21</v>
      </c>
      <c r="G93" s="62">
        <v>45331</v>
      </c>
      <c r="H93" s="64">
        <v>0.78</v>
      </c>
      <c r="I93" s="61">
        <v>420000</v>
      </c>
      <c r="J93" s="67">
        <v>420000</v>
      </c>
      <c r="K93" s="67" t="s">
        <v>229</v>
      </c>
      <c r="P93" s="6"/>
    </row>
    <row r="94" spans="2:24" ht="18.75" thickTop="1" thickBot="1" x14ac:dyDescent="0.3">
      <c r="B94" s="61" t="s">
        <v>191</v>
      </c>
      <c r="C94" s="61" t="s">
        <v>196</v>
      </c>
      <c r="D94" s="61" t="s">
        <v>195</v>
      </c>
      <c r="E94" s="62">
        <v>45370</v>
      </c>
      <c r="F94" s="63">
        <v>25</v>
      </c>
      <c r="G94" s="62">
        <v>45395</v>
      </c>
      <c r="H94" s="64">
        <v>1</v>
      </c>
      <c r="I94" s="61">
        <v>850000</v>
      </c>
      <c r="J94" s="67">
        <v>850000</v>
      </c>
      <c r="K94" s="67" t="s">
        <v>229</v>
      </c>
      <c r="O94" s="65"/>
      <c r="Q94" s="88" t="s">
        <v>230</v>
      </c>
      <c r="R94" s="88"/>
    </row>
    <row r="95" spans="2:24" ht="18.75" thickTop="1" thickBot="1" x14ac:dyDescent="0.3">
      <c r="B95" s="61" t="s">
        <v>197</v>
      </c>
      <c r="C95" s="61" t="s">
        <v>198</v>
      </c>
      <c r="D95" s="61" t="s">
        <v>199</v>
      </c>
      <c r="E95" s="62">
        <v>45293</v>
      </c>
      <c r="F95" s="63">
        <v>23</v>
      </c>
      <c r="G95" s="62">
        <v>45316</v>
      </c>
      <c r="H95" s="64">
        <v>0.5</v>
      </c>
      <c r="I95" s="61">
        <v>280000</v>
      </c>
      <c r="J95" s="67">
        <v>280000</v>
      </c>
      <c r="K95" s="67" t="s">
        <v>228</v>
      </c>
      <c r="O95" s="65"/>
      <c r="Q95" s="92" t="s">
        <v>231</v>
      </c>
      <c r="R95" s="89" t="s">
        <v>232</v>
      </c>
    </row>
    <row r="96" spans="2:24" ht="18.75" thickTop="1" thickBot="1" x14ac:dyDescent="0.3">
      <c r="B96" s="61" t="s">
        <v>197</v>
      </c>
      <c r="C96" s="61" t="s">
        <v>200</v>
      </c>
      <c r="D96" s="61" t="s">
        <v>201</v>
      </c>
      <c r="E96" s="62">
        <v>45317</v>
      </c>
      <c r="F96" s="63">
        <v>32</v>
      </c>
      <c r="G96" s="62">
        <v>45349</v>
      </c>
      <c r="H96" s="64">
        <v>0</v>
      </c>
      <c r="I96" s="61">
        <v>310000</v>
      </c>
      <c r="J96" s="67">
        <v>310000</v>
      </c>
      <c r="K96" s="67" t="s">
        <v>228</v>
      </c>
      <c r="O96" s="65"/>
      <c r="Q96" s="92" t="s">
        <v>233</v>
      </c>
      <c r="R96" s="90" t="s">
        <v>232</v>
      </c>
    </row>
    <row r="97" spans="2:25" ht="18.75" thickTop="1" thickBot="1" x14ac:dyDescent="0.3">
      <c r="B97" s="61" t="s">
        <v>197</v>
      </c>
      <c r="C97" s="61" t="s">
        <v>202</v>
      </c>
      <c r="D97" s="61" t="s">
        <v>203</v>
      </c>
      <c r="E97" s="62">
        <v>45350</v>
      </c>
      <c r="F97" s="63">
        <v>27</v>
      </c>
      <c r="G97" s="62">
        <v>45377</v>
      </c>
      <c r="H97" s="64">
        <v>0</v>
      </c>
      <c r="I97" s="61">
        <v>260000</v>
      </c>
      <c r="J97" s="67">
        <v>260000</v>
      </c>
      <c r="K97" s="67" t="s">
        <v>228</v>
      </c>
      <c r="O97" s="65"/>
      <c r="Q97" s="92" t="s">
        <v>237</v>
      </c>
      <c r="R97" s="11" t="str">
        <f>10&amp;"-"&amp;20</f>
        <v>10-20</v>
      </c>
    </row>
    <row r="98" spans="2:25" ht="18.75" thickTop="1" thickBot="1" x14ac:dyDescent="0.3">
      <c r="B98" s="61" t="s">
        <v>204</v>
      </c>
      <c r="C98" s="61" t="s">
        <v>205</v>
      </c>
      <c r="D98" s="61" t="s">
        <v>206</v>
      </c>
      <c r="E98" s="62">
        <v>45293</v>
      </c>
      <c r="F98" s="63">
        <v>36</v>
      </c>
      <c r="G98" s="62">
        <v>45329</v>
      </c>
      <c r="H98" s="64">
        <v>1</v>
      </c>
      <c r="I98" s="61">
        <v>950000</v>
      </c>
      <c r="J98" s="67">
        <v>950000</v>
      </c>
      <c r="K98" s="67" t="s">
        <v>229</v>
      </c>
      <c r="O98" s="65"/>
      <c r="Q98" s="92" t="s">
        <v>238</v>
      </c>
      <c r="R98" s="91">
        <v>10</v>
      </c>
    </row>
    <row r="99" spans="2:25" ht="18.75" thickTop="1" thickBot="1" x14ac:dyDescent="0.3">
      <c r="B99" s="61" t="s">
        <v>204</v>
      </c>
      <c r="C99" s="61" t="s">
        <v>207</v>
      </c>
      <c r="D99" s="61" t="s">
        <v>208</v>
      </c>
      <c r="E99" s="62">
        <v>45330</v>
      </c>
      <c r="F99" s="63">
        <v>34</v>
      </c>
      <c r="G99" s="62">
        <v>45364</v>
      </c>
      <c r="H99" s="64">
        <v>0</v>
      </c>
      <c r="I99" s="61">
        <v>720000</v>
      </c>
      <c r="J99" s="67">
        <v>720000</v>
      </c>
      <c r="K99" s="67" t="s">
        <v>229</v>
      </c>
      <c r="O99" s="65"/>
      <c r="Q99" s="93" t="s">
        <v>234</v>
      </c>
      <c r="R99" s="10"/>
    </row>
    <row r="100" spans="2:25" ht="18.75" thickTop="1" thickBot="1" x14ac:dyDescent="0.3">
      <c r="B100" s="61" t="s">
        <v>204</v>
      </c>
      <c r="C100" s="61" t="s">
        <v>209</v>
      </c>
      <c r="D100" s="61" t="s">
        <v>210</v>
      </c>
      <c r="E100" s="62">
        <v>45365</v>
      </c>
      <c r="F100" s="63">
        <v>30</v>
      </c>
      <c r="G100" s="62">
        <v>45395</v>
      </c>
      <c r="H100" s="64">
        <v>0</v>
      </c>
      <c r="I100" s="61">
        <v>180000</v>
      </c>
      <c r="J100" s="67">
        <v>180000</v>
      </c>
      <c r="K100" s="67" t="s">
        <v>228</v>
      </c>
      <c r="O100" s="65"/>
      <c r="Q100" s="94" t="s">
        <v>235</v>
      </c>
      <c r="R100" s="94" t="s">
        <v>236</v>
      </c>
    </row>
    <row r="101" spans="2:25" ht="18.75" thickTop="1" thickBot="1" x14ac:dyDescent="0.3">
      <c r="B101" s="61" t="s">
        <v>211</v>
      </c>
      <c r="C101" s="61" t="s">
        <v>212</v>
      </c>
      <c r="D101" s="61" t="s">
        <v>213</v>
      </c>
      <c r="E101" s="62">
        <v>45294</v>
      </c>
      <c r="F101" s="63">
        <v>40</v>
      </c>
      <c r="G101" s="62">
        <v>45341</v>
      </c>
      <c r="H101" s="64">
        <v>0.3</v>
      </c>
      <c r="I101" s="61">
        <v>1250000</v>
      </c>
      <c r="J101" s="67">
        <v>1250000</v>
      </c>
      <c r="K101" s="67" t="s">
        <v>228</v>
      </c>
      <c r="O101" s="65"/>
      <c r="Q101" s="11">
        <v>10</v>
      </c>
      <c r="R101" s="11">
        <v>20</v>
      </c>
    </row>
    <row r="102" spans="2:25" ht="15.75" thickTop="1" x14ac:dyDescent="0.25">
      <c r="P102" s="65"/>
    </row>
    <row r="104" spans="2:25" ht="30" x14ac:dyDescent="0.25">
      <c r="P104" s="104" t="s">
        <v>1</v>
      </c>
      <c r="Q104" s="104" t="s">
        <v>292</v>
      </c>
      <c r="R104" s="104" t="s">
        <v>292</v>
      </c>
      <c r="S104" s="104" t="s">
        <v>292</v>
      </c>
      <c r="T104" s="104" t="s">
        <v>293</v>
      </c>
      <c r="U104" s="104" t="s">
        <v>293</v>
      </c>
      <c r="V104" s="104" t="s">
        <v>293</v>
      </c>
      <c r="W104" s="104" t="s">
        <v>294</v>
      </c>
      <c r="X104" s="104" t="s">
        <v>294</v>
      </c>
      <c r="Y104" s="104" t="s">
        <v>294</v>
      </c>
    </row>
    <row r="105" spans="2:25" x14ac:dyDescent="0.25">
      <c r="P105" s="33" t="s">
        <v>85</v>
      </c>
      <c r="Q105" s="33">
        <v>52</v>
      </c>
      <c r="R105" s="33">
        <v>54</v>
      </c>
      <c r="S105" s="33">
        <v>53</v>
      </c>
      <c r="T105" s="33">
        <v>58</v>
      </c>
      <c r="U105" s="33">
        <v>60</v>
      </c>
      <c r="V105" s="33">
        <v>59</v>
      </c>
      <c r="W105" s="33">
        <v>61</v>
      </c>
      <c r="X105" s="33">
        <v>63</v>
      </c>
      <c r="Y105" s="33">
        <v>62</v>
      </c>
    </row>
    <row r="106" spans="2:25" x14ac:dyDescent="0.25">
      <c r="P106" s="33" t="s">
        <v>82</v>
      </c>
      <c r="Q106" s="33">
        <v>55</v>
      </c>
      <c r="R106" s="33">
        <v>56</v>
      </c>
      <c r="S106" s="33">
        <v>54</v>
      </c>
      <c r="T106" s="33">
        <v>62</v>
      </c>
      <c r="U106" s="33">
        <v>63</v>
      </c>
      <c r="V106" s="33">
        <v>61</v>
      </c>
      <c r="W106" s="33">
        <v>65</v>
      </c>
      <c r="X106" s="33">
        <v>66</v>
      </c>
      <c r="Y106" s="33">
        <v>64</v>
      </c>
    </row>
    <row r="107" spans="2:25" x14ac:dyDescent="0.25">
      <c r="P107" s="33" t="s">
        <v>88</v>
      </c>
      <c r="Q107" s="33">
        <v>50</v>
      </c>
      <c r="R107" s="33">
        <v>51</v>
      </c>
      <c r="S107" s="33">
        <v>49</v>
      </c>
      <c r="T107" s="33">
        <v>57</v>
      </c>
      <c r="U107" s="33">
        <v>58</v>
      </c>
      <c r="V107" s="33">
        <v>56</v>
      </c>
      <c r="W107" s="33">
        <v>60</v>
      </c>
      <c r="X107" s="33">
        <v>61</v>
      </c>
      <c r="Y107" s="33">
        <v>59</v>
      </c>
    </row>
    <row r="108" spans="2:25" x14ac:dyDescent="0.25">
      <c r="P108" s="33" t="s">
        <v>90</v>
      </c>
      <c r="Q108" s="33">
        <v>54</v>
      </c>
      <c r="R108" s="33">
        <v>55</v>
      </c>
      <c r="S108" s="33">
        <v>53</v>
      </c>
      <c r="T108" s="33">
        <v>60</v>
      </c>
      <c r="U108" s="33">
        <v>61</v>
      </c>
      <c r="V108" s="33">
        <v>59</v>
      </c>
      <c r="W108" s="33">
        <v>64</v>
      </c>
      <c r="X108" s="33">
        <v>65</v>
      </c>
      <c r="Y108" s="33">
        <v>63</v>
      </c>
    </row>
    <row r="112" spans="2:25" ht="21" x14ac:dyDescent="0.35">
      <c r="P112" s="100" t="s">
        <v>261</v>
      </c>
      <c r="Q112" s="100"/>
    </row>
    <row r="114" spans="1:22" ht="15.75" thickBot="1" x14ac:dyDescent="0.3">
      <c r="P114" t="s">
        <v>262</v>
      </c>
    </row>
    <row r="115" spans="1:22" x14ac:dyDescent="0.25">
      <c r="P115" s="111" t="s">
        <v>263</v>
      </c>
      <c r="Q115" s="111" t="s">
        <v>264</v>
      </c>
      <c r="R115" s="111" t="s">
        <v>265</v>
      </c>
      <c r="S115" s="111" t="s">
        <v>266</v>
      </c>
      <c r="T115" s="111" t="s">
        <v>267</v>
      </c>
    </row>
    <row r="116" spans="1:22" x14ac:dyDescent="0.25">
      <c r="P116" s="108" t="s">
        <v>292</v>
      </c>
      <c r="Q116" s="108">
        <v>4</v>
      </c>
      <c r="R116" s="108">
        <v>211</v>
      </c>
      <c r="S116" s="108">
        <v>52.75</v>
      </c>
      <c r="T116" s="108">
        <v>4.916666666666667</v>
      </c>
    </row>
    <row r="117" spans="1:22" x14ac:dyDescent="0.25">
      <c r="P117" s="108" t="s">
        <v>292</v>
      </c>
      <c r="Q117" s="108">
        <v>4</v>
      </c>
      <c r="R117" s="108">
        <v>216</v>
      </c>
      <c r="S117" s="108">
        <v>54</v>
      </c>
      <c r="T117" s="108">
        <v>4.666666666666667</v>
      </c>
    </row>
    <row r="118" spans="1:22" x14ac:dyDescent="0.25">
      <c r="P118" s="108" t="s">
        <v>292</v>
      </c>
      <c r="Q118" s="108">
        <v>4</v>
      </c>
      <c r="R118" s="108">
        <v>209</v>
      </c>
      <c r="S118" s="108">
        <v>52.25</v>
      </c>
      <c r="T118" s="108">
        <v>4.916666666666667</v>
      </c>
    </row>
    <row r="119" spans="1:22" ht="15.75" thickBot="1" x14ac:dyDescent="0.3">
      <c r="P119" s="110" t="s">
        <v>293</v>
      </c>
      <c r="Q119" s="110">
        <v>4</v>
      </c>
      <c r="R119" s="110">
        <v>237</v>
      </c>
      <c r="S119" s="110">
        <v>59.25</v>
      </c>
      <c r="T119" s="110">
        <v>4.916666666666667</v>
      </c>
    </row>
    <row r="120" spans="1:22" ht="23.25" x14ac:dyDescent="0.25">
      <c r="C120" s="95" t="s">
        <v>239</v>
      </c>
    </row>
    <row r="121" spans="1:22" ht="30" x14ac:dyDescent="0.25">
      <c r="A121" s="106" t="s">
        <v>240</v>
      </c>
      <c r="B121" s="106" t="s">
        <v>241</v>
      </c>
      <c r="C121" s="106" t="s">
        <v>242</v>
      </c>
      <c r="D121" s="106" t="s">
        <v>243</v>
      </c>
      <c r="E121" s="106" t="s">
        <v>244</v>
      </c>
      <c r="F121" s="106" t="s">
        <v>245</v>
      </c>
      <c r="G121" s="106" t="s">
        <v>246</v>
      </c>
      <c r="H121" s="106" t="s">
        <v>247</v>
      </c>
      <c r="I121" s="106" t="s">
        <v>248</v>
      </c>
      <c r="J121" s="106" t="s">
        <v>288</v>
      </c>
      <c r="K121" s="106" t="s">
        <v>289</v>
      </c>
      <c r="L121" s="106" t="s">
        <v>290</v>
      </c>
      <c r="M121" s="106" t="s">
        <v>267</v>
      </c>
      <c r="N121" s="106" t="s">
        <v>291</v>
      </c>
    </row>
    <row r="122" spans="1:22" ht="15.75" thickBot="1" x14ac:dyDescent="0.3">
      <c r="A122" s="33" t="s">
        <v>249</v>
      </c>
      <c r="B122" s="33" t="s">
        <v>250</v>
      </c>
      <c r="C122" s="105">
        <v>18</v>
      </c>
      <c r="D122" s="105">
        <v>92</v>
      </c>
      <c r="E122" s="105">
        <v>15</v>
      </c>
      <c r="F122" s="33">
        <v>85</v>
      </c>
      <c r="G122" s="33">
        <v>78</v>
      </c>
      <c r="H122" s="33">
        <v>80</v>
      </c>
      <c r="I122" s="33">
        <v>82</v>
      </c>
      <c r="J122" s="11">
        <f>AVERAGE(F122,G122,H122)</f>
        <v>81</v>
      </c>
      <c r="K122" s="11">
        <f>MEDIAN(I122:I131)</f>
        <v>82</v>
      </c>
      <c r="L122" s="11">
        <f>_xlfn.MODE.SNGL(H122:H131)</f>
        <v>80</v>
      </c>
      <c r="M122" s="11">
        <f>_xlfn.VAR.S(G122:G131,H122:H131)</f>
        <v>70.89473684210526</v>
      </c>
      <c r="N122" s="11">
        <f>_xlfn.STDEV.S(G122:G131,H122:H131)</f>
        <v>8.419901237075484</v>
      </c>
      <c r="P122" t="s">
        <v>268</v>
      </c>
    </row>
    <row r="123" spans="1:22" x14ac:dyDescent="0.25">
      <c r="A123" s="33" t="s">
        <v>251</v>
      </c>
      <c r="B123" s="33" t="s">
        <v>252</v>
      </c>
      <c r="C123" s="105">
        <v>19</v>
      </c>
      <c r="D123" s="105">
        <v>88</v>
      </c>
      <c r="E123" s="105">
        <v>12</v>
      </c>
      <c r="F123" s="33">
        <v>79</v>
      </c>
      <c r="G123" s="33">
        <v>75</v>
      </c>
      <c r="H123" s="33">
        <v>80</v>
      </c>
      <c r="I123" s="33">
        <v>78</v>
      </c>
      <c r="J123" s="11">
        <f t="shared" ref="J123:J131" si="12">AVERAGE(F123,G123,H123)</f>
        <v>78</v>
      </c>
      <c r="K123" s="11"/>
      <c r="L123" s="11"/>
      <c r="M123" s="11"/>
      <c r="N123" s="11"/>
      <c r="P123" s="111" t="s">
        <v>269</v>
      </c>
      <c r="Q123" s="111" t="s">
        <v>270</v>
      </c>
      <c r="R123" s="111" t="s">
        <v>271</v>
      </c>
      <c r="S123" s="111" t="s">
        <v>272</v>
      </c>
      <c r="T123" s="111" t="s">
        <v>273</v>
      </c>
      <c r="U123" s="111" t="s">
        <v>274</v>
      </c>
      <c r="V123" s="111" t="s">
        <v>275</v>
      </c>
    </row>
    <row r="124" spans="1:22" x14ac:dyDescent="0.25">
      <c r="A124" s="33" t="s">
        <v>253</v>
      </c>
      <c r="B124" s="33" t="s">
        <v>250</v>
      </c>
      <c r="C124" s="105">
        <v>20</v>
      </c>
      <c r="D124" s="105">
        <v>95</v>
      </c>
      <c r="E124" s="105">
        <v>18</v>
      </c>
      <c r="F124" s="33">
        <v>90</v>
      </c>
      <c r="G124" s="33">
        <v>88</v>
      </c>
      <c r="H124" s="33">
        <v>92</v>
      </c>
      <c r="I124" s="33">
        <v>90</v>
      </c>
      <c r="J124" s="11">
        <f t="shared" si="12"/>
        <v>90</v>
      </c>
      <c r="K124" s="11"/>
      <c r="L124" s="11"/>
      <c r="M124" s="11"/>
      <c r="N124" s="11"/>
      <c r="P124" s="108" t="s">
        <v>276</v>
      </c>
      <c r="Q124" s="108">
        <v>123.6875</v>
      </c>
      <c r="R124" s="108">
        <v>3</v>
      </c>
      <c r="S124" s="108">
        <v>41.229166666666664</v>
      </c>
      <c r="T124" s="108">
        <v>8.4935622317596557</v>
      </c>
      <c r="U124" s="108">
        <v>2.6895608850448127E-3</v>
      </c>
      <c r="V124" s="108">
        <v>3.4902948194976045</v>
      </c>
    </row>
    <row r="125" spans="1:22" x14ac:dyDescent="0.25">
      <c r="A125" s="33" t="s">
        <v>254</v>
      </c>
      <c r="B125" s="33" t="s">
        <v>252</v>
      </c>
      <c r="C125" s="105">
        <v>18</v>
      </c>
      <c r="D125" s="105">
        <v>85</v>
      </c>
      <c r="E125" s="105">
        <v>10</v>
      </c>
      <c r="F125" s="33">
        <v>75</v>
      </c>
      <c r="G125" s="33">
        <v>72</v>
      </c>
      <c r="H125" s="33">
        <v>74</v>
      </c>
      <c r="I125" s="33">
        <v>74</v>
      </c>
      <c r="J125" s="11">
        <f t="shared" si="12"/>
        <v>73.666666666666671</v>
      </c>
      <c r="K125" s="11"/>
      <c r="L125" s="11"/>
      <c r="M125" s="11"/>
      <c r="N125" s="11"/>
      <c r="P125" s="108" t="s">
        <v>277</v>
      </c>
      <c r="Q125" s="108">
        <v>58.25</v>
      </c>
      <c r="R125" s="108">
        <v>12</v>
      </c>
      <c r="S125" s="108">
        <v>4.854166666666667</v>
      </c>
      <c r="T125" s="108"/>
      <c r="U125" s="108"/>
      <c r="V125" s="108"/>
    </row>
    <row r="126" spans="1:22" x14ac:dyDescent="0.25">
      <c r="A126" s="33" t="s">
        <v>255</v>
      </c>
      <c r="B126" s="33" t="s">
        <v>250</v>
      </c>
      <c r="C126" s="105">
        <v>21</v>
      </c>
      <c r="D126" s="105">
        <v>97</v>
      </c>
      <c r="E126" s="105">
        <v>20</v>
      </c>
      <c r="F126" s="33">
        <v>95</v>
      </c>
      <c r="G126" s="33">
        <v>91</v>
      </c>
      <c r="H126" s="33">
        <v>94</v>
      </c>
      <c r="I126" s="33">
        <v>93</v>
      </c>
      <c r="J126" s="11">
        <f t="shared" si="12"/>
        <v>93.333333333333329</v>
      </c>
      <c r="K126" s="11"/>
      <c r="L126" s="11"/>
      <c r="M126" s="11"/>
      <c r="N126" s="11"/>
      <c r="P126" s="108"/>
      <c r="Q126" s="108"/>
      <c r="R126" s="108"/>
      <c r="S126" s="108"/>
      <c r="T126" s="108"/>
      <c r="U126" s="108"/>
      <c r="V126" s="108"/>
    </row>
    <row r="127" spans="1:22" ht="15.75" thickBot="1" x14ac:dyDescent="0.3">
      <c r="A127" s="33" t="s">
        <v>256</v>
      </c>
      <c r="B127" s="33" t="s">
        <v>252</v>
      </c>
      <c r="C127" s="105">
        <v>19</v>
      </c>
      <c r="D127" s="105">
        <v>90</v>
      </c>
      <c r="E127" s="105">
        <v>14</v>
      </c>
      <c r="F127" s="33">
        <v>82</v>
      </c>
      <c r="G127" s="33">
        <v>79</v>
      </c>
      <c r="H127" s="33">
        <v>84</v>
      </c>
      <c r="I127" s="33">
        <v>82</v>
      </c>
      <c r="J127" s="11">
        <f t="shared" si="12"/>
        <v>81.666666666666671</v>
      </c>
      <c r="K127" s="11"/>
      <c r="L127" s="11"/>
      <c r="M127" s="11"/>
      <c r="N127" s="11"/>
      <c r="P127" s="110" t="s">
        <v>278</v>
      </c>
      <c r="Q127" s="110">
        <v>181.9375</v>
      </c>
      <c r="R127" s="110">
        <v>15</v>
      </c>
      <c r="S127" s="110"/>
      <c r="T127" s="110"/>
      <c r="U127" s="110"/>
      <c r="V127" s="110"/>
    </row>
    <row r="128" spans="1:22" x14ac:dyDescent="0.25">
      <c r="A128" s="33" t="s">
        <v>257</v>
      </c>
      <c r="B128" s="33" t="s">
        <v>250</v>
      </c>
      <c r="C128" s="105">
        <v>18</v>
      </c>
      <c r="D128" s="105">
        <v>78</v>
      </c>
      <c r="E128" s="105">
        <v>8</v>
      </c>
      <c r="F128" s="33">
        <v>68</v>
      </c>
      <c r="G128" s="33">
        <v>65</v>
      </c>
      <c r="H128" s="33">
        <v>70</v>
      </c>
      <c r="I128" s="33">
        <v>68</v>
      </c>
      <c r="J128" s="11">
        <f t="shared" si="12"/>
        <v>67.666666666666671</v>
      </c>
      <c r="K128" s="11"/>
      <c r="L128" s="11"/>
      <c r="M128" s="11"/>
      <c r="N128" s="11"/>
    </row>
    <row r="129" spans="1:30" x14ac:dyDescent="0.25">
      <c r="A129" s="33" t="s">
        <v>258</v>
      </c>
      <c r="B129" s="33" t="s">
        <v>252</v>
      </c>
      <c r="C129" s="105">
        <v>20</v>
      </c>
      <c r="D129" s="105">
        <v>93</v>
      </c>
      <c r="E129" s="105">
        <v>16</v>
      </c>
      <c r="F129" s="33">
        <v>88</v>
      </c>
      <c r="G129" s="33">
        <v>85</v>
      </c>
      <c r="H129" s="33">
        <v>89</v>
      </c>
      <c r="I129" s="33">
        <v>87</v>
      </c>
      <c r="J129" s="11">
        <f t="shared" si="12"/>
        <v>87.333333333333329</v>
      </c>
      <c r="K129" s="11"/>
      <c r="L129" s="11"/>
      <c r="M129" s="11"/>
      <c r="N129" s="11"/>
    </row>
    <row r="130" spans="1:30" ht="21" x14ac:dyDescent="0.35">
      <c r="A130" s="33" t="s">
        <v>259</v>
      </c>
      <c r="B130" s="33" t="s">
        <v>250</v>
      </c>
      <c r="C130" s="105">
        <v>19</v>
      </c>
      <c r="D130" s="105">
        <v>87</v>
      </c>
      <c r="E130" s="105">
        <v>11</v>
      </c>
      <c r="F130" s="33">
        <v>76</v>
      </c>
      <c r="G130" s="33">
        <v>74</v>
      </c>
      <c r="H130" s="33">
        <v>78</v>
      </c>
      <c r="I130" s="33">
        <v>76</v>
      </c>
      <c r="J130" s="11">
        <f t="shared" si="12"/>
        <v>76</v>
      </c>
      <c r="K130" s="11"/>
      <c r="L130" s="11"/>
      <c r="M130" s="11"/>
      <c r="N130" s="11"/>
      <c r="Q130" s="104" t="s">
        <v>1</v>
      </c>
      <c r="R130" s="33" t="s">
        <v>85</v>
      </c>
      <c r="S130" s="33" t="s">
        <v>82</v>
      </c>
      <c r="T130" s="33" t="s">
        <v>88</v>
      </c>
      <c r="U130" s="33" t="s">
        <v>90</v>
      </c>
      <c r="Y130" s="100" t="s">
        <v>285</v>
      </c>
      <c r="Z130" s="100"/>
      <c r="AA130" s="100"/>
      <c r="AB130" s="100"/>
      <c r="AC130" s="99"/>
      <c r="AD130" s="99"/>
    </row>
    <row r="131" spans="1:30" ht="15.75" thickBot="1" x14ac:dyDescent="0.3">
      <c r="A131" s="33" t="s">
        <v>260</v>
      </c>
      <c r="B131" s="33" t="s">
        <v>252</v>
      </c>
      <c r="C131" s="105">
        <v>21</v>
      </c>
      <c r="D131" s="105">
        <v>96</v>
      </c>
      <c r="E131" s="105">
        <v>19</v>
      </c>
      <c r="F131" s="33">
        <v>92</v>
      </c>
      <c r="G131" s="33">
        <v>89</v>
      </c>
      <c r="H131" s="33">
        <v>93</v>
      </c>
      <c r="I131" s="33">
        <v>91</v>
      </c>
      <c r="J131" s="11">
        <f t="shared" si="12"/>
        <v>91.333333333333329</v>
      </c>
      <c r="K131" s="11"/>
      <c r="L131" s="11"/>
      <c r="M131" s="11"/>
      <c r="N131" s="11"/>
      <c r="Q131" s="104" t="s">
        <v>292</v>
      </c>
      <c r="R131" s="33">
        <v>52</v>
      </c>
      <c r="S131" s="33">
        <v>55</v>
      </c>
      <c r="T131" s="33">
        <v>50</v>
      </c>
      <c r="U131" s="33">
        <v>54</v>
      </c>
    </row>
    <row r="132" spans="1:30" x14ac:dyDescent="0.25">
      <c r="A132" s="65"/>
      <c r="B132" s="65"/>
      <c r="C132" s="96"/>
      <c r="D132" s="96"/>
      <c r="E132" s="96"/>
      <c r="Q132" s="104" t="s">
        <v>292</v>
      </c>
      <c r="R132" s="33">
        <v>54</v>
      </c>
      <c r="S132" s="33">
        <v>56</v>
      </c>
      <c r="T132" s="33">
        <v>51</v>
      </c>
      <c r="U132" s="33">
        <v>55</v>
      </c>
      <c r="Y132" s="111" t="s">
        <v>262</v>
      </c>
      <c r="Z132" s="111" t="s">
        <v>264</v>
      </c>
      <c r="AA132" s="111" t="s">
        <v>265</v>
      </c>
      <c r="AB132" s="111" t="s">
        <v>266</v>
      </c>
      <c r="AC132" s="111" t="s">
        <v>267</v>
      </c>
    </row>
    <row r="133" spans="1:30" x14ac:dyDescent="0.25">
      <c r="A133" s="65"/>
      <c r="B133" s="65"/>
      <c r="C133" s="96"/>
      <c r="D133" s="96"/>
      <c r="E133" s="96"/>
      <c r="Q133" s="104" t="s">
        <v>292</v>
      </c>
      <c r="R133" s="33">
        <v>53</v>
      </c>
      <c r="S133" s="33">
        <v>54</v>
      </c>
      <c r="T133" s="33">
        <v>49</v>
      </c>
      <c r="U133" s="33">
        <v>53</v>
      </c>
      <c r="Y133" s="108" t="s">
        <v>292</v>
      </c>
      <c r="Z133" s="108">
        <v>4</v>
      </c>
      <c r="AA133" s="108">
        <v>211</v>
      </c>
      <c r="AB133" s="108">
        <v>52.75</v>
      </c>
      <c r="AC133" s="108">
        <v>4.916666666666667</v>
      </c>
    </row>
    <row r="134" spans="1:30" ht="23.25" x14ac:dyDescent="0.35">
      <c r="A134" s="65"/>
      <c r="B134" s="101" t="s">
        <v>261</v>
      </c>
      <c r="C134" s="101"/>
      <c r="J134" s="100" t="s">
        <v>285</v>
      </c>
      <c r="K134" s="100"/>
      <c r="L134" s="100"/>
      <c r="M134" s="99"/>
      <c r="Q134" s="104" t="s">
        <v>293</v>
      </c>
      <c r="R134" s="33">
        <v>58</v>
      </c>
      <c r="S134" s="33">
        <v>62</v>
      </c>
      <c r="T134" s="33">
        <v>57</v>
      </c>
      <c r="U134" s="33">
        <v>60</v>
      </c>
      <c r="Y134" s="108" t="s">
        <v>292</v>
      </c>
      <c r="Z134" s="108">
        <v>4</v>
      </c>
      <c r="AA134" s="108">
        <v>216</v>
      </c>
      <c r="AB134" s="108">
        <v>54</v>
      </c>
      <c r="AC134" s="108">
        <v>4.666666666666667</v>
      </c>
    </row>
    <row r="135" spans="1:30" ht="15.75" thickBot="1" x14ac:dyDescent="0.3">
      <c r="A135" s="65"/>
      <c r="Q135" s="104" t="s">
        <v>293</v>
      </c>
      <c r="R135" s="33">
        <v>60</v>
      </c>
      <c r="S135" s="33">
        <v>63</v>
      </c>
      <c r="T135" s="33">
        <v>58</v>
      </c>
      <c r="U135" s="33">
        <v>61</v>
      </c>
      <c r="Y135" s="108" t="s">
        <v>292</v>
      </c>
      <c r="Z135" s="108">
        <v>4</v>
      </c>
      <c r="AA135" s="108">
        <v>209</v>
      </c>
      <c r="AB135" s="108">
        <v>52.25</v>
      </c>
      <c r="AC135" s="108">
        <v>4.916666666666667</v>
      </c>
    </row>
    <row r="136" spans="1:30" ht="15.75" thickBot="1" x14ac:dyDescent="0.3">
      <c r="A136" s="65"/>
      <c r="B136" t="s">
        <v>262</v>
      </c>
      <c r="J136" s="98" t="s">
        <v>262</v>
      </c>
      <c r="K136" s="98" t="s">
        <v>264</v>
      </c>
      <c r="L136" s="98" t="s">
        <v>265</v>
      </c>
      <c r="M136" s="98" t="s">
        <v>266</v>
      </c>
      <c r="N136" s="98" t="s">
        <v>267</v>
      </c>
      <c r="Q136" s="104" t="s">
        <v>293</v>
      </c>
      <c r="R136" s="33">
        <v>59</v>
      </c>
      <c r="S136" s="33">
        <v>61</v>
      </c>
      <c r="T136" s="33">
        <v>56</v>
      </c>
      <c r="U136" s="33">
        <v>59</v>
      </c>
      <c r="Y136" s="108" t="s">
        <v>293</v>
      </c>
      <c r="Z136" s="108">
        <v>4</v>
      </c>
      <c r="AA136" s="108">
        <v>237</v>
      </c>
      <c r="AB136" s="108">
        <v>59.25</v>
      </c>
      <c r="AC136" s="108">
        <v>4.916666666666667</v>
      </c>
    </row>
    <row r="137" spans="1:30" x14ac:dyDescent="0.25">
      <c r="A137" s="65"/>
      <c r="B137" s="98" t="s">
        <v>263</v>
      </c>
      <c r="C137" s="98" t="s">
        <v>264</v>
      </c>
      <c r="D137" s="98" t="s">
        <v>265</v>
      </c>
      <c r="E137" s="98" t="s">
        <v>266</v>
      </c>
      <c r="F137" s="98" t="s">
        <v>267</v>
      </c>
      <c r="J137">
        <v>78</v>
      </c>
      <c r="K137">
        <v>2</v>
      </c>
      <c r="L137">
        <v>164</v>
      </c>
      <c r="M137">
        <v>82</v>
      </c>
      <c r="N137">
        <v>0</v>
      </c>
      <c r="Q137" s="104" t="s">
        <v>294</v>
      </c>
      <c r="R137" s="33">
        <v>61</v>
      </c>
      <c r="S137" s="33">
        <v>65</v>
      </c>
      <c r="T137" s="33">
        <v>60</v>
      </c>
      <c r="U137" s="33">
        <v>64</v>
      </c>
      <c r="Y137" s="108" t="s">
        <v>293</v>
      </c>
      <c r="Z137" s="108">
        <v>4</v>
      </c>
      <c r="AA137" s="108">
        <v>242</v>
      </c>
      <c r="AB137" s="108">
        <v>60.5</v>
      </c>
      <c r="AC137" s="108">
        <v>4.333333333333333</v>
      </c>
    </row>
    <row r="138" spans="1:30" x14ac:dyDescent="0.25">
      <c r="B138" t="s">
        <v>242</v>
      </c>
      <c r="C138">
        <v>10</v>
      </c>
      <c r="D138">
        <v>193</v>
      </c>
      <c r="E138">
        <v>19.3</v>
      </c>
      <c r="F138">
        <v>1.3444444444444443</v>
      </c>
      <c r="J138">
        <v>75</v>
      </c>
      <c r="K138">
        <v>2</v>
      </c>
      <c r="L138">
        <v>158</v>
      </c>
      <c r="M138">
        <v>79</v>
      </c>
      <c r="N138">
        <v>2</v>
      </c>
      <c r="Q138" s="104" t="s">
        <v>294</v>
      </c>
      <c r="R138" s="33">
        <v>63</v>
      </c>
      <c r="S138" s="33">
        <v>66</v>
      </c>
      <c r="T138" s="33">
        <v>61</v>
      </c>
      <c r="U138" s="33">
        <v>65</v>
      </c>
      <c r="Y138" s="108" t="s">
        <v>293</v>
      </c>
      <c r="Z138" s="108">
        <v>4</v>
      </c>
      <c r="AA138" s="108">
        <v>235</v>
      </c>
      <c r="AB138" s="108">
        <v>58.75</v>
      </c>
      <c r="AC138" s="108">
        <v>4.25</v>
      </c>
    </row>
    <row r="139" spans="1:30" ht="15.75" thickBot="1" x14ac:dyDescent="0.3">
      <c r="B139" s="97" t="s">
        <v>243</v>
      </c>
      <c r="C139" s="97">
        <v>10</v>
      </c>
      <c r="D139" s="97">
        <v>901</v>
      </c>
      <c r="E139" s="97">
        <v>90.1</v>
      </c>
      <c r="F139" s="97">
        <v>33.877777777777773</v>
      </c>
      <c r="J139">
        <v>88</v>
      </c>
      <c r="K139">
        <v>2</v>
      </c>
      <c r="L139">
        <v>182</v>
      </c>
      <c r="M139">
        <v>91</v>
      </c>
      <c r="N139">
        <v>2</v>
      </c>
      <c r="Q139" s="104" t="s">
        <v>294</v>
      </c>
      <c r="R139" s="33">
        <v>62</v>
      </c>
      <c r="S139" s="33">
        <v>64</v>
      </c>
      <c r="T139" s="33">
        <v>59</v>
      </c>
      <c r="U139" s="33">
        <v>63</v>
      </c>
      <c r="Y139" s="108" t="s">
        <v>294</v>
      </c>
      <c r="Z139" s="108">
        <v>4</v>
      </c>
      <c r="AA139" s="108">
        <v>250</v>
      </c>
      <c r="AB139" s="108">
        <v>62.5</v>
      </c>
      <c r="AC139" s="108">
        <v>5.666666666666667</v>
      </c>
    </row>
    <row r="140" spans="1:30" x14ac:dyDescent="0.25">
      <c r="J140">
        <v>72</v>
      </c>
      <c r="K140">
        <v>2</v>
      </c>
      <c r="L140">
        <v>148</v>
      </c>
      <c r="M140">
        <v>74</v>
      </c>
      <c r="N140">
        <v>0</v>
      </c>
      <c r="Y140" s="108" t="s">
        <v>294</v>
      </c>
      <c r="Z140" s="108">
        <v>4</v>
      </c>
      <c r="AA140" s="108">
        <v>255</v>
      </c>
      <c r="AB140" s="108">
        <v>63.75</v>
      </c>
      <c r="AC140" s="108">
        <v>4.916666666666667</v>
      </c>
    </row>
    <row r="141" spans="1:30" ht="21" x14ac:dyDescent="0.35">
      <c r="J141">
        <v>91</v>
      </c>
      <c r="K141">
        <v>2</v>
      </c>
      <c r="L141">
        <v>187</v>
      </c>
      <c r="M141">
        <v>93.5</v>
      </c>
      <c r="N141">
        <v>0.5</v>
      </c>
      <c r="R141" s="107" t="s">
        <v>280</v>
      </c>
      <c r="S141" s="107"/>
      <c r="T141" s="99"/>
      <c r="U141" s="99"/>
      <c r="Y141" s="108" t="s">
        <v>294</v>
      </c>
      <c r="Z141" s="108">
        <v>4</v>
      </c>
      <c r="AA141" s="108">
        <v>248</v>
      </c>
      <c r="AB141" s="108">
        <v>62</v>
      </c>
      <c r="AC141" s="108">
        <v>4.666666666666667</v>
      </c>
    </row>
    <row r="142" spans="1:30" ht="15.75" thickBot="1" x14ac:dyDescent="0.3">
      <c r="B142" t="s">
        <v>268</v>
      </c>
      <c r="J142">
        <v>79</v>
      </c>
      <c r="K142">
        <v>2</v>
      </c>
      <c r="L142">
        <v>166</v>
      </c>
      <c r="M142">
        <v>83</v>
      </c>
      <c r="N142">
        <v>2</v>
      </c>
      <c r="Y142" s="108"/>
      <c r="Z142" s="108"/>
      <c r="AA142" s="108"/>
      <c r="AB142" s="108"/>
      <c r="AC142" s="108"/>
    </row>
    <row r="143" spans="1:30" x14ac:dyDescent="0.25">
      <c r="B143" s="98" t="s">
        <v>269</v>
      </c>
      <c r="C143" s="98" t="s">
        <v>270</v>
      </c>
      <c r="D143" s="98" t="s">
        <v>271</v>
      </c>
      <c r="E143" s="98" t="s">
        <v>272</v>
      </c>
      <c r="F143" s="98" t="s">
        <v>273</v>
      </c>
      <c r="G143" s="98" t="s">
        <v>274</v>
      </c>
      <c r="H143" s="98" t="s">
        <v>275</v>
      </c>
      <c r="J143">
        <v>65</v>
      </c>
      <c r="K143">
        <v>2</v>
      </c>
      <c r="L143">
        <v>138</v>
      </c>
      <c r="M143">
        <v>69</v>
      </c>
      <c r="N143">
        <v>2</v>
      </c>
      <c r="R143" t="s">
        <v>262</v>
      </c>
      <c r="S143" t="s">
        <v>85</v>
      </c>
      <c r="T143" t="s">
        <v>82</v>
      </c>
      <c r="U143" t="s">
        <v>88</v>
      </c>
      <c r="V143" t="s">
        <v>90</v>
      </c>
      <c r="W143" t="s">
        <v>278</v>
      </c>
      <c r="Y143" s="108" t="s">
        <v>85</v>
      </c>
      <c r="Z143" s="108">
        <v>9</v>
      </c>
      <c r="AA143" s="108">
        <v>522</v>
      </c>
      <c r="AB143" s="108">
        <v>58</v>
      </c>
      <c r="AC143" s="108">
        <v>16.5</v>
      </c>
    </row>
    <row r="144" spans="1:30" ht="15.75" thickBot="1" x14ac:dyDescent="0.3">
      <c r="B144" t="s">
        <v>276</v>
      </c>
      <c r="C144">
        <v>25063.199999999997</v>
      </c>
      <c r="D144">
        <v>1</v>
      </c>
      <c r="E144">
        <v>25063.199999999997</v>
      </c>
      <c r="F144">
        <v>1423.1470031545739</v>
      </c>
      <c r="G144">
        <v>1.3797742301933769E-18</v>
      </c>
      <c r="H144">
        <v>4.4138734191705664</v>
      </c>
      <c r="J144">
        <v>85</v>
      </c>
      <c r="K144">
        <v>2</v>
      </c>
      <c r="L144">
        <v>176</v>
      </c>
      <c r="M144">
        <v>88</v>
      </c>
      <c r="N144">
        <v>2</v>
      </c>
      <c r="R144" s="109" t="s">
        <v>292</v>
      </c>
      <c r="S144" s="109"/>
      <c r="T144" s="109"/>
      <c r="U144" s="109"/>
      <c r="V144" s="109"/>
      <c r="W144" s="109"/>
      <c r="Y144" s="108" t="s">
        <v>82</v>
      </c>
      <c r="Z144" s="108">
        <v>9</v>
      </c>
      <c r="AA144" s="108">
        <v>546</v>
      </c>
      <c r="AB144" s="108">
        <v>60.666666666666664</v>
      </c>
      <c r="AC144" s="108">
        <v>20.5</v>
      </c>
    </row>
    <row r="145" spans="2:31" x14ac:dyDescent="0.25">
      <c r="B145" t="s">
        <v>277</v>
      </c>
      <c r="C145">
        <v>317</v>
      </c>
      <c r="D145">
        <v>18</v>
      </c>
      <c r="E145">
        <v>17.611111111111111</v>
      </c>
      <c r="J145">
        <v>74</v>
      </c>
      <c r="K145">
        <v>2</v>
      </c>
      <c r="L145">
        <v>154</v>
      </c>
      <c r="M145">
        <v>77</v>
      </c>
      <c r="N145">
        <v>2</v>
      </c>
      <c r="R145" s="108" t="s">
        <v>264</v>
      </c>
      <c r="S145" s="108">
        <v>3</v>
      </c>
      <c r="T145" s="108">
        <v>3</v>
      </c>
      <c r="U145" s="108">
        <v>3</v>
      </c>
      <c r="V145" s="108">
        <v>3</v>
      </c>
      <c r="W145" s="108">
        <v>12</v>
      </c>
      <c r="Y145" s="108" t="s">
        <v>88</v>
      </c>
      <c r="Z145" s="108">
        <v>9</v>
      </c>
      <c r="AA145" s="108">
        <v>501</v>
      </c>
      <c r="AB145" s="108">
        <v>55.666666666666664</v>
      </c>
      <c r="AC145" s="108">
        <v>20.5</v>
      </c>
    </row>
    <row r="146" spans="2:31" ht="15.75" thickBot="1" x14ac:dyDescent="0.3">
      <c r="J146">
        <v>89</v>
      </c>
      <c r="K146">
        <v>2</v>
      </c>
      <c r="L146">
        <v>184</v>
      </c>
      <c r="M146">
        <v>92</v>
      </c>
      <c r="N146">
        <v>2</v>
      </c>
      <c r="R146" s="108" t="s">
        <v>265</v>
      </c>
      <c r="S146" s="108">
        <v>159</v>
      </c>
      <c r="T146" s="108">
        <v>165</v>
      </c>
      <c r="U146" s="108">
        <v>150</v>
      </c>
      <c r="V146" s="108">
        <v>162</v>
      </c>
      <c r="W146" s="108">
        <v>636</v>
      </c>
      <c r="Y146" s="110" t="s">
        <v>90</v>
      </c>
      <c r="Z146" s="110">
        <v>9</v>
      </c>
      <c r="AA146" s="110">
        <v>534</v>
      </c>
      <c r="AB146" s="110">
        <v>59.333333333333336</v>
      </c>
      <c r="AC146" s="110">
        <v>19.750000000000004</v>
      </c>
    </row>
    <row r="147" spans="2:31" ht="15.75" thickBot="1" x14ac:dyDescent="0.3">
      <c r="B147" s="97" t="s">
        <v>278</v>
      </c>
      <c r="C147" s="97">
        <v>25380.199999999997</v>
      </c>
      <c r="D147" s="97">
        <v>19</v>
      </c>
      <c r="E147" s="97"/>
      <c r="F147" s="97"/>
      <c r="G147" s="97"/>
      <c r="H147" s="97"/>
      <c r="R147" s="108" t="s">
        <v>266</v>
      </c>
      <c r="S147" s="108">
        <v>53</v>
      </c>
      <c r="T147" s="108">
        <v>55</v>
      </c>
      <c r="U147" s="108">
        <v>50</v>
      </c>
      <c r="V147" s="108">
        <v>54</v>
      </c>
      <c r="W147" s="108">
        <v>53</v>
      </c>
    </row>
    <row r="148" spans="2:31" x14ac:dyDescent="0.25">
      <c r="J148" t="s">
        <v>247</v>
      </c>
      <c r="K148">
        <v>10</v>
      </c>
      <c r="L148">
        <v>836</v>
      </c>
      <c r="M148">
        <v>83.6</v>
      </c>
      <c r="N148">
        <v>68.933333333333337</v>
      </c>
      <c r="R148" s="108" t="s">
        <v>267</v>
      </c>
      <c r="S148" s="108">
        <v>1</v>
      </c>
      <c r="T148" s="108">
        <v>1</v>
      </c>
      <c r="U148" s="108">
        <v>1</v>
      </c>
      <c r="V148" s="108">
        <v>1</v>
      </c>
      <c r="W148" s="108">
        <v>4.5454545454545459</v>
      </c>
    </row>
    <row r="149" spans="2:31" ht="15.75" thickBot="1" x14ac:dyDescent="0.3">
      <c r="J149" s="97" t="s">
        <v>248</v>
      </c>
      <c r="K149" s="97">
        <v>10</v>
      </c>
      <c r="L149" s="97">
        <v>821</v>
      </c>
      <c r="M149" s="97">
        <v>82.1</v>
      </c>
      <c r="N149" s="97">
        <v>66.988888888888894</v>
      </c>
      <c r="R149" s="108"/>
      <c r="S149" s="108"/>
      <c r="T149" s="108"/>
      <c r="U149" s="108"/>
      <c r="V149" s="108"/>
      <c r="W149" s="108"/>
      <c r="Y149" t="s">
        <v>268</v>
      </c>
    </row>
    <row r="150" spans="2:31" ht="21.75" thickBot="1" x14ac:dyDescent="0.4">
      <c r="B150" s="100" t="s">
        <v>280</v>
      </c>
      <c r="C150" s="99"/>
      <c r="R150" s="109" t="s">
        <v>293</v>
      </c>
      <c r="S150" s="109"/>
      <c r="T150" s="109"/>
      <c r="U150" s="109"/>
      <c r="V150" s="109"/>
      <c r="W150" s="109"/>
      <c r="Y150" s="111" t="s">
        <v>269</v>
      </c>
      <c r="Z150" s="111" t="s">
        <v>270</v>
      </c>
      <c r="AA150" s="111" t="s">
        <v>271</v>
      </c>
      <c r="AB150" s="111" t="s">
        <v>272</v>
      </c>
      <c r="AC150" s="111" t="s">
        <v>273</v>
      </c>
      <c r="AD150" s="111" t="s">
        <v>274</v>
      </c>
      <c r="AE150" s="111" t="s">
        <v>275</v>
      </c>
    </row>
    <row r="151" spans="2:31" x14ac:dyDescent="0.25">
      <c r="R151" s="108" t="s">
        <v>264</v>
      </c>
      <c r="S151" s="108">
        <v>3</v>
      </c>
      <c r="T151" s="108">
        <v>3</v>
      </c>
      <c r="U151" s="108">
        <v>3</v>
      </c>
      <c r="V151" s="108">
        <v>3</v>
      </c>
      <c r="W151" s="108">
        <v>12</v>
      </c>
      <c r="Y151" s="108" t="s">
        <v>286</v>
      </c>
      <c r="Z151" s="108">
        <v>610.99999999999989</v>
      </c>
      <c r="AA151" s="108">
        <v>8</v>
      </c>
      <c r="AB151" s="108">
        <v>76.374999999999986</v>
      </c>
      <c r="AC151" s="108">
        <v>261.85714285713857</v>
      </c>
      <c r="AD151" s="108">
        <v>1.9662237866073233E-21</v>
      </c>
      <c r="AE151" s="108">
        <v>2.3550814948462078</v>
      </c>
    </row>
    <row r="152" spans="2:31" ht="15.75" thickBot="1" x14ac:dyDescent="0.3">
      <c r="B152" t="s">
        <v>262</v>
      </c>
      <c r="C152" t="s">
        <v>245</v>
      </c>
      <c r="D152" t="s">
        <v>246</v>
      </c>
      <c r="E152" t="s">
        <v>278</v>
      </c>
      <c r="J152" t="s">
        <v>268</v>
      </c>
      <c r="R152" s="108" t="s">
        <v>265</v>
      </c>
      <c r="S152" s="108">
        <v>177</v>
      </c>
      <c r="T152" s="108">
        <v>186</v>
      </c>
      <c r="U152" s="108">
        <v>171</v>
      </c>
      <c r="V152" s="108">
        <v>180</v>
      </c>
      <c r="W152" s="108">
        <v>714</v>
      </c>
      <c r="Y152" s="108" t="s">
        <v>282</v>
      </c>
      <c r="Z152" s="108">
        <v>122.74999999999989</v>
      </c>
      <c r="AA152" s="108">
        <v>3</v>
      </c>
      <c r="AB152" s="108">
        <v>40.916666666666629</v>
      </c>
      <c r="AC152" s="108">
        <v>140.28571428571189</v>
      </c>
      <c r="AD152" s="108">
        <v>2.3880674288078496E-15</v>
      </c>
      <c r="AE152" s="108">
        <v>3.0087865704473615</v>
      </c>
    </row>
    <row r="153" spans="2:31" ht="15.75" thickBot="1" x14ac:dyDescent="0.3">
      <c r="B153" s="103">
        <v>15</v>
      </c>
      <c r="C153" s="103"/>
      <c r="D153" s="103"/>
      <c r="E153" s="103"/>
      <c r="J153" s="98" t="s">
        <v>269</v>
      </c>
      <c r="K153" s="98" t="s">
        <v>270</v>
      </c>
      <c r="L153" s="98" t="s">
        <v>271</v>
      </c>
      <c r="M153" s="98" t="s">
        <v>272</v>
      </c>
      <c r="N153" s="98" t="s">
        <v>273</v>
      </c>
      <c r="O153" s="98" t="s">
        <v>274</v>
      </c>
      <c r="P153" s="98" t="s">
        <v>275</v>
      </c>
      <c r="R153" s="108" t="s">
        <v>266</v>
      </c>
      <c r="S153" s="108">
        <v>59</v>
      </c>
      <c r="T153" s="108">
        <v>62</v>
      </c>
      <c r="U153" s="108">
        <v>57</v>
      </c>
      <c r="V153" s="108">
        <v>60</v>
      </c>
      <c r="W153" s="108">
        <v>59.5</v>
      </c>
      <c r="Y153" s="108" t="s">
        <v>287</v>
      </c>
      <c r="Z153" s="108">
        <v>7.0000000000001137</v>
      </c>
      <c r="AA153" s="108">
        <v>24</v>
      </c>
      <c r="AB153" s="108">
        <v>0.2916666666666714</v>
      </c>
      <c r="AC153" s="108"/>
      <c r="AD153" s="108"/>
      <c r="AE153" s="108"/>
    </row>
    <row r="154" spans="2:31" x14ac:dyDescent="0.25">
      <c r="B154" t="s">
        <v>264</v>
      </c>
      <c r="C154">
        <v>10</v>
      </c>
      <c r="D154">
        <v>10</v>
      </c>
      <c r="E154">
        <v>20</v>
      </c>
      <c r="J154" t="s">
        <v>286</v>
      </c>
      <c r="K154">
        <v>1220.05</v>
      </c>
      <c r="L154">
        <v>9</v>
      </c>
      <c r="M154">
        <v>135.5611111111111</v>
      </c>
      <c r="N154">
        <v>375.39999999997372</v>
      </c>
      <c r="O154">
        <v>1.6876751453004232E-10</v>
      </c>
      <c r="P154">
        <v>3.17889310445827</v>
      </c>
      <c r="R154" s="108" t="s">
        <v>267</v>
      </c>
      <c r="S154" s="108">
        <v>1</v>
      </c>
      <c r="T154" s="108">
        <v>1</v>
      </c>
      <c r="U154" s="108">
        <v>1</v>
      </c>
      <c r="V154" s="108">
        <v>1</v>
      </c>
      <c r="W154" s="108">
        <v>4.2727272727272725</v>
      </c>
      <c r="Y154" s="108"/>
      <c r="Z154" s="108"/>
      <c r="AA154" s="108"/>
      <c r="AB154" s="108"/>
      <c r="AC154" s="108"/>
      <c r="AD154" s="108"/>
      <c r="AE154" s="108"/>
    </row>
    <row r="155" spans="2:31" ht="15.75" thickBot="1" x14ac:dyDescent="0.3">
      <c r="B155" t="s">
        <v>265</v>
      </c>
      <c r="C155">
        <v>830</v>
      </c>
      <c r="D155">
        <v>796</v>
      </c>
      <c r="E155">
        <v>1626</v>
      </c>
      <c r="J155" t="s">
        <v>282</v>
      </c>
      <c r="K155">
        <v>11.249999999999773</v>
      </c>
      <c r="L155">
        <v>1</v>
      </c>
      <c r="M155">
        <v>11.249999999999773</v>
      </c>
      <c r="N155">
        <v>31.153846153843347</v>
      </c>
      <c r="O155">
        <v>3.422639983648927E-4</v>
      </c>
      <c r="P155">
        <v>5.1173550291992269</v>
      </c>
      <c r="R155" s="108"/>
      <c r="S155" s="108"/>
      <c r="T155" s="108"/>
      <c r="U155" s="108"/>
      <c r="V155" s="108"/>
      <c r="W155" s="108"/>
      <c r="Y155" s="110" t="s">
        <v>278</v>
      </c>
      <c r="Z155" s="110">
        <v>740.74999999999989</v>
      </c>
      <c r="AA155" s="110">
        <v>35</v>
      </c>
      <c r="AB155" s="110"/>
      <c r="AC155" s="110"/>
      <c r="AD155" s="110"/>
      <c r="AE155" s="110"/>
    </row>
    <row r="156" spans="2:31" ht="15.75" thickBot="1" x14ac:dyDescent="0.3">
      <c r="B156" t="s">
        <v>266</v>
      </c>
      <c r="C156">
        <v>83</v>
      </c>
      <c r="D156">
        <v>79.599999999999994</v>
      </c>
      <c r="E156">
        <v>81.3</v>
      </c>
      <c r="J156" t="s">
        <v>287</v>
      </c>
      <c r="K156">
        <v>3.2500000000002274</v>
      </c>
      <c r="L156">
        <v>9</v>
      </c>
      <c r="M156">
        <v>0.36111111111113636</v>
      </c>
      <c r="R156" s="109" t="s">
        <v>294</v>
      </c>
      <c r="S156" s="109"/>
      <c r="T156" s="109"/>
      <c r="U156" s="109"/>
      <c r="V156" s="109"/>
      <c r="W156" s="109"/>
    </row>
    <row r="157" spans="2:31" x14ac:dyDescent="0.25">
      <c r="B157" t="s">
        <v>267</v>
      </c>
      <c r="C157">
        <v>73.111111111111114</v>
      </c>
      <c r="D157">
        <v>71.600000000000165</v>
      </c>
      <c r="E157">
        <v>71.589473684211143</v>
      </c>
      <c r="R157" s="108" t="s">
        <v>264</v>
      </c>
      <c r="S157" s="108">
        <v>3</v>
      </c>
      <c r="T157" s="108">
        <v>3</v>
      </c>
      <c r="U157" s="108">
        <v>3</v>
      </c>
      <c r="V157" s="108">
        <v>3</v>
      </c>
      <c r="W157" s="108">
        <v>12</v>
      </c>
    </row>
    <row r="158" spans="2:31" ht="15.75" thickBot="1" x14ac:dyDescent="0.3">
      <c r="J158" s="97" t="s">
        <v>278</v>
      </c>
      <c r="K158" s="97">
        <v>1234.55</v>
      </c>
      <c r="L158" s="97">
        <v>19</v>
      </c>
      <c r="M158" s="97"/>
      <c r="N158" s="97"/>
      <c r="O158" s="97"/>
      <c r="P158" s="97"/>
      <c r="R158" s="108" t="s">
        <v>265</v>
      </c>
      <c r="S158" s="108">
        <v>186</v>
      </c>
      <c r="T158" s="108">
        <v>195</v>
      </c>
      <c r="U158" s="108">
        <v>180</v>
      </c>
      <c r="V158" s="108">
        <v>192</v>
      </c>
      <c r="W158" s="108">
        <v>753</v>
      </c>
    </row>
    <row r="159" spans="2:31" ht="15.75" thickBot="1" x14ac:dyDescent="0.3">
      <c r="B159" s="103" t="s">
        <v>278</v>
      </c>
      <c r="C159" s="103"/>
      <c r="D159" s="103"/>
      <c r="R159" s="108" t="s">
        <v>266</v>
      </c>
      <c r="S159" s="108">
        <v>62</v>
      </c>
      <c r="T159" s="108">
        <v>65</v>
      </c>
      <c r="U159" s="108">
        <v>60</v>
      </c>
      <c r="V159" s="108">
        <v>64</v>
      </c>
      <c r="W159" s="108">
        <v>62.75</v>
      </c>
    </row>
    <row r="160" spans="2:31" x14ac:dyDescent="0.25">
      <c r="B160" t="s">
        <v>264</v>
      </c>
      <c r="C160">
        <v>10</v>
      </c>
      <c r="D160">
        <v>10</v>
      </c>
      <c r="R160" s="108" t="s">
        <v>267</v>
      </c>
      <c r="S160" s="108">
        <v>1</v>
      </c>
      <c r="T160" s="108">
        <v>1</v>
      </c>
      <c r="U160" s="108">
        <v>1</v>
      </c>
      <c r="V160" s="108">
        <v>1</v>
      </c>
      <c r="W160" s="108">
        <v>4.75</v>
      </c>
    </row>
    <row r="161" spans="2:24" x14ac:dyDescent="0.25">
      <c r="B161" t="s">
        <v>265</v>
      </c>
      <c r="C161">
        <v>830</v>
      </c>
      <c r="D161">
        <v>796</v>
      </c>
      <c r="R161" s="108"/>
      <c r="S161" s="108"/>
      <c r="T161" s="108"/>
      <c r="U161" s="108"/>
      <c r="V161" s="108"/>
      <c r="W161" s="108"/>
    </row>
    <row r="162" spans="2:24" ht="21.75" thickBot="1" x14ac:dyDescent="0.3">
      <c r="B162" t="s">
        <v>266</v>
      </c>
      <c r="C162">
        <v>83</v>
      </c>
      <c r="D162">
        <v>79.599999999999994</v>
      </c>
      <c r="L162" s="102" t="s">
        <v>279</v>
      </c>
      <c r="R162" s="109" t="s">
        <v>278</v>
      </c>
      <c r="S162" s="109"/>
      <c r="T162" s="109"/>
      <c r="U162" s="109"/>
      <c r="V162" s="109"/>
    </row>
    <row r="163" spans="2:24" ht="15.75" thickBot="1" x14ac:dyDescent="0.3">
      <c r="B163" t="s">
        <v>267</v>
      </c>
      <c r="C163">
        <v>73.111111111111114</v>
      </c>
      <c r="D163">
        <v>71.600000000000165</v>
      </c>
      <c r="R163" s="108" t="s">
        <v>264</v>
      </c>
      <c r="S163" s="108">
        <v>9</v>
      </c>
      <c r="T163" s="108">
        <v>9</v>
      </c>
      <c r="U163" s="108">
        <v>9</v>
      </c>
      <c r="V163" s="108">
        <v>9</v>
      </c>
    </row>
    <row r="164" spans="2:24" x14ac:dyDescent="0.25">
      <c r="K164" s="98"/>
      <c r="L164" s="98" t="s">
        <v>242</v>
      </c>
      <c r="M164" s="98" t="s">
        <v>243</v>
      </c>
      <c r="R164" s="108" t="s">
        <v>265</v>
      </c>
      <c r="S164" s="108">
        <v>522</v>
      </c>
      <c r="T164" s="108">
        <v>546</v>
      </c>
      <c r="U164" s="108">
        <v>501</v>
      </c>
      <c r="V164" s="108">
        <v>534</v>
      </c>
    </row>
    <row r="165" spans="2:24" x14ac:dyDescent="0.25">
      <c r="K165" t="s">
        <v>242</v>
      </c>
      <c r="L165">
        <v>1</v>
      </c>
      <c r="R165" s="108" t="s">
        <v>266</v>
      </c>
      <c r="S165" s="108">
        <v>58</v>
      </c>
      <c r="T165" s="108">
        <v>60.666666666666664</v>
      </c>
      <c r="U165" s="108">
        <v>55.666666666666664</v>
      </c>
      <c r="V165" s="108">
        <v>59.333333333333336</v>
      </c>
    </row>
    <row r="166" spans="2:24" ht="15.75" thickBot="1" x14ac:dyDescent="0.3">
      <c r="B166" t="s">
        <v>268</v>
      </c>
      <c r="K166" s="97" t="s">
        <v>243</v>
      </c>
      <c r="L166" s="97">
        <v>0.80178432942420952</v>
      </c>
      <c r="M166" s="97">
        <v>1</v>
      </c>
      <c r="R166" s="108" t="s">
        <v>267</v>
      </c>
      <c r="S166" s="108">
        <v>16.5</v>
      </c>
      <c r="T166" s="108">
        <v>20.5</v>
      </c>
      <c r="U166" s="108">
        <v>20.5</v>
      </c>
      <c r="V166" s="108">
        <v>19.750000000000004</v>
      </c>
    </row>
    <row r="167" spans="2:24" x14ac:dyDescent="0.25">
      <c r="B167" s="98" t="s">
        <v>269</v>
      </c>
      <c r="C167" s="98" t="s">
        <v>270</v>
      </c>
      <c r="D167" s="98" t="s">
        <v>271</v>
      </c>
      <c r="E167" s="98" t="s">
        <v>272</v>
      </c>
      <c r="F167" s="98" t="s">
        <v>273</v>
      </c>
      <c r="G167" s="98" t="s">
        <v>274</v>
      </c>
      <c r="H167" s="98" t="s">
        <v>275</v>
      </c>
      <c r="R167" s="108"/>
      <c r="S167" s="108"/>
      <c r="T167" s="108"/>
      <c r="U167" s="108"/>
      <c r="V167" s="108"/>
    </row>
    <row r="168" spans="2:24" x14ac:dyDescent="0.25">
      <c r="B168" t="s">
        <v>281</v>
      </c>
      <c r="C168">
        <v>0</v>
      </c>
      <c r="D168">
        <v>0</v>
      </c>
      <c r="E168">
        <v>65535</v>
      </c>
      <c r="F168">
        <v>65535</v>
      </c>
      <c r="G168" t="e">
        <v>#NUM!</v>
      </c>
      <c r="H168" t="e">
        <v>#NUM!</v>
      </c>
    </row>
    <row r="169" spans="2:24" ht="15.75" thickBot="1" x14ac:dyDescent="0.3">
      <c r="B169" t="s">
        <v>282</v>
      </c>
      <c r="C169">
        <v>57.799999999999727</v>
      </c>
      <c r="D169">
        <v>1</v>
      </c>
      <c r="E169">
        <v>57.799999999999727</v>
      </c>
      <c r="F169">
        <v>0.79883292383292004</v>
      </c>
      <c r="G169">
        <v>0.38323744182773412</v>
      </c>
      <c r="H169">
        <v>4.4138734191705664</v>
      </c>
      <c r="R169" t="s">
        <v>268</v>
      </c>
    </row>
    <row r="170" spans="2:24" x14ac:dyDescent="0.25">
      <c r="B170" t="s">
        <v>283</v>
      </c>
      <c r="C170">
        <v>0</v>
      </c>
      <c r="D170">
        <v>0</v>
      </c>
      <c r="E170">
        <v>65535</v>
      </c>
      <c r="F170">
        <v>65535</v>
      </c>
      <c r="G170" t="e">
        <v>#NUM!</v>
      </c>
      <c r="H170" t="e">
        <v>#NUM!</v>
      </c>
      <c r="K170" s="98"/>
      <c r="L170" s="98" t="s">
        <v>246</v>
      </c>
      <c r="M170" s="98" t="s">
        <v>247</v>
      </c>
      <c r="R170" s="111" t="s">
        <v>269</v>
      </c>
      <c r="S170" s="111" t="s">
        <v>270</v>
      </c>
      <c r="T170" s="111" t="s">
        <v>271</v>
      </c>
      <c r="U170" s="111" t="s">
        <v>272</v>
      </c>
      <c r="V170" s="111" t="s">
        <v>273</v>
      </c>
      <c r="W170" s="111" t="s">
        <v>274</v>
      </c>
      <c r="X170" s="111" t="s">
        <v>275</v>
      </c>
    </row>
    <row r="171" spans="2:24" x14ac:dyDescent="0.25">
      <c r="B171" t="s">
        <v>284</v>
      </c>
      <c r="C171">
        <v>1302.4000000000001</v>
      </c>
      <c r="D171">
        <v>18</v>
      </c>
      <c r="E171">
        <v>72.355555555555554</v>
      </c>
      <c r="K171" t="s">
        <v>246</v>
      </c>
      <c r="L171">
        <v>1</v>
      </c>
      <c r="R171" s="108" t="s">
        <v>281</v>
      </c>
      <c r="S171" s="108">
        <v>591.49999999999989</v>
      </c>
      <c r="T171" s="108">
        <v>2</v>
      </c>
      <c r="U171" s="108">
        <v>295.74999999999994</v>
      </c>
      <c r="V171" s="108">
        <v>295.74999999999994</v>
      </c>
      <c r="W171" s="108">
        <v>1.2353733073716452E-17</v>
      </c>
      <c r="X171" s="108">
        <v>3.4028261053501945</v>
      </c>
    </row>
    <row r="172" spans="2:24" x14ac:dyDescent="0.25">
      <c r="R172" s="108" t="s">
        <v>282</v>
      </c>
      <c r="S172" s="108">
        <v>122.74999999999989</v>
      </c>
      <c r="T172" s="108">
        <v>3</v>
      </c>
      <c r="U172" s="108">
        <v>40.916666666666629</v>
      </c>
      <c r="V172" s="108">
        <v>40.916666666666629</v>
      </c>
      <c r="W172" s="108">
        <v>1.3592601694521991E-9</v>
      </c>
      <c r="X172" s="108">
        <v>3.0087865704473615</v>
      </c>
    </row>
    <row r="173" spans="2:24" ht="15.75" thickBot="1" x14ac:dyDescent="0.3">
      <c r="B173" s="97" t="s">
        <v>278</v>
      </c>
      <c r="C173" s="97">
        <v>1360.1999999999998</v>
      </c>
      <c r="D173" s="97">
        <v>19</v>
      </c>
      <c r="E173" s="97"/>
      <c r="F173" s="97"/>
      <c r="G173" s="97"/>
      <c r="H173" s="97"/>
      <c r="R173" s="108" t="s">
        <v>283</v>
      </c>
      <c r="S173" s="108">
        <v>2.5000000000001137</v>
      </c>
      <c r="T173" s="108">
        <v>6</v>
      </c>
      <c r="U173" s="108">
        <v>0.41666666666668561</v>
      </c>
      <c r="V173" s="108">
        <v>0.41666666666668561</v>
      </c>
      <c r="W173" s="108">
        <v>0.86059432132185698</v>
      </c>
      <c r="X173" s="108">
        <v>2.5081888234232559</v>
      </c>
    </row>
    <row r="174" spans="2:24" x14ac:dyDescent="0.25">
      <c r="R174" s="108" t="s">
        <v>284</v>
      </c>
      <c r="S174" s="108">
        <v>24</v>
      </c>
      <c r="T174" s="108">
        <v>24</v>
      </c>
      <c r="U174" s="108">
        <v>1</v>
      </c>
      <c r="V174" s="108"/>
      <c r="W174" s="108"/>
      <c r="X174" s="108"/>
    </row>
    <row r="175" spans="2:24" x14ac:dyDescent="0.25">
      <c r="R175" s="108"/>
      <c r="S175" s="108"/>
      <c r="T175" s="108"/>
      <c r="U175" s="108"/>
      <c r="V175" s="108"/>
      <c r="W175" s="108"/>
      <c r="X175" s="108"/>
    </row>
    <row r="176" spans="2:24" ht="15.75" thickBot="1" x14ac:dyDescent="0.3">
      <c r="R176" s="110" t="s">
        <v>278</v>
      </c>
      <c r="S176" s="110">
        <v>740.74999999999989</v>
      </c>
      <c r="T176" s="110">
        <v>35</v>
      </c>
      <c r="U176" s="110"/>
      <c r="V176" s="110"/>
      <c r="W176" s="110"/>
      <c r="X176" s="110"/>
    </row>
  </sheetData>
  <conditionalFormatting sqref="D82:D101">
    <cfRule type="containsText" dxfId="13" priority="12" operator="containsText" text="Mark">
      <formula>NOT(ISERROR(SEARCH("Mark",D82)))</formula>
    </cfRule>
  </conditionalFormatting>
  <conditionalFormatting sqref="F82:F101">
    <cfRule type="dataBar" priority="1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{A322A223-2746-46CE-B1C7-1478AE4AAF0A}</x14:id>
        </ext>
      </extLst>
    </cfRule>
  </conditionalFormatting>
  <conditionalFormatting sqref="G82:G101">
    <cfRule type="cellIs" dxfId="12" priority="3" operator="equal">
      <formula>45371</formula>
    </cfRule>
  </conditionalFormatting>
  <conditionalFormatting sqref="H82:H101">
    <cfRule type="cellIs" dxfId="11" priority="15" operator="lessThan">
      <formula>0.5</formula>
    </cfRule>
    <cfRule type="cellIs" dxfId="10" priority="16" operator="between">
      <formula>0.5</formula>
      <formula>0.75</formula>
    </cfRule>
    <cfRule type="cellIs" dxfId="9" priority="17" operator="greaterThan">
      <formula>0.75</formula>
    </cfRule>
  </conditionalFormatting>
  <conditionalFormatting sqref="I82:I101">
    <cfRule type="top10" dxfId="8" priority="10" rank="10"/>
    <cfRule type="top10" dxfId="7" priority="11" rank="10"/>
  </conditionalFormatting>
  <conditionalFormatting sqref="I122:I131">
    <cfRule type="cellIs" dxfId="6" priority="1" operator="lessThan">
      <formula>85</formula>
    </cfRule>
    <cfRule type="cellIs" dxfId="5" priority="2" operator="greaterThan">
      <formula>85</formula>
    </cfRule>
  </conditionalFormatting>
  <conditionalFormatting sqref="K82:K101">
    <cfRule type="iconSet" priority="8">
      <iconSet iconSet="3Symbols2">
        <cfvo type="percent" val="0"/>
        <cfvo type="percent" val="33"/>
        <cfvo type="percent" val="67"/>
      </iconSet>
    </cfRule>
    <cfRule type="containsText" dxfId="4" priority="9" operator="containsText" text="not done">
      <formula>NOT(ISERROR(SEARCH("not done",K82)))</formula>
    </cfRule>
  </conditionalFormatting>
  <conditionalFormatting sqref="N82:N92">
    <cfRule type="cellIs" dxfId="3" priority="4" operator="greaterThan">
      <formula>0</formula>
    </cfRule>
    <cfRule type="cellIs" dxfId="2" priority="5" operator="lessThan">
      <formula>0</formula>
    </cfRule>
    <cfRule type="cellIs" dxfId="1" priority="6" operator="lessThan">
      <formula>0</formula>
    </cfRule>
    <cfRule type="cellIs" dxfId="0" priority="7" operator="lessThan">
      <formula>0</formula>
    </cfRule>
  </conditionalFormatting>
  <pageMargins left="0.7" right="0.7" top="0.75" bottom="0.75" header="0.3" footer="0.3"/>
  <ignoredErrors>
    <ignoredError sqref="M3:M10" formulaRange="1"/>
  </ignoredErrors>
  <drawing r:id="rId1"/>
  <tableParts count="4"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22A223-2746-46CE-B1C7-1478AE4AAF0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F82:F101</xm:sqref>
        </x14:conditionalFormatting>
        <x14:conditionalFormatting xmlns:xm="http://schemas.microsoft.com/office/excel/2006/main">
          <x14:cfRule type="iconSet" priority="13" id="{85730AD6-F70A-4AAF-A024-F7AFC9616E0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I81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23691a3306@MITS.COM</dc:creator>
  <cp:lastModifiedBy>MITS</cp:lastModifiedBy>
  <dcterms:created xsi:type="dcterms:W3CDTF">2026-06-01T06:11:50Z</dcterms:created>
  <dcterms:modified xsi:type="dcterms:W3CDTF">2026-06-06T04:45:13Z</dcterms:modified>
</cp:coreProperties>
</file>