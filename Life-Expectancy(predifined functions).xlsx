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\"/>
    </mc:Choice>
  </mc:AlternateContent>
  <xr:revisionPtr revIDLastSave="0" documentId="13_ncr:1_{93E901A9-F03E-4614-AD8C-1B96298AC1AA}" xr6:coauthVersionLast="47" xr6:coauthVersionMax="47" xr10:uidLastSave="{00000000-0000-0000-0000-000000000000}"/>
  <bookViews>
    <workbookView xWindow="-120" yWindow="-120" windowWidth="29040" windowHeight="15720" xr2:uid="{02BD5F67-049E-4C94-B3F8-81A0D08BC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00" i="1" l="1"/>
  <c r="N200" i="1"/>
  <c r="M200" i="1"/>
  <c r="L200" i="1"/>
  <c r="K200" i="1"/>
  <c r="J200" i="1"/>
  <c r="O199" i="1"/>
  <c r="N199" i="1"/>
  <c r="M199" i="1"/>
  <c r="L199" i="1"/>
  <c r="K199" i="1"/>
  <c r="J199" i="1"/>
  <c r="O198" i="1"/>
  <c r="N198" i="1"/>
  <c r="M198" i="1"/>
  <c r="L198" i="1"/>
  <c r="K198" i="1"/>
  <c r="J198" i="1"/>
  <c r="O197" i="1"/>
  <c r="N197" i="1"/>
  <c r="M197" i="1"/>
  <c r="L197" i="1"/>
  <c r="K197" i="1"/>
  <c r="J197" i="1"/>
  <c r="O196" i="1"/>
  <c r="N196" i="1"/>
  <c r="M196" i="1"/>
  <c r="L196" i="1"/>
  <c r="K196" i="1"/>
  <c r="J196" i="1"/>
  <c r="O195" i="1"/>
  <c r="N195" i="1"/>
  <c r="M195" i="1"/>
  <c r="L195" i="1"/>
  <c r="K195" i="1"/>
  <c r="J195" i="1"/>
  <c r="O194" i="1"/>
  <c r="N194" i="1"/>
  <c r="M194" i="1"/>
  <c r="L194" i="1"/>
  <c r="K194" i="1"/>
  <c r="J194" i="1"/>
  <c r="O193" i="1"/>
  <c r="N193" i="1"/>
  <c r="M193" i="1"/>
  <c r="L193" i="1"/>
  <c r="K193" i="1"/>
  <c r="J193" i="1"/>
  <c r="O192" i="1"/>
  <c r="N192" i="1"/>
  <c r="M192" i="1"/>
  <c r="L192" i="1"/>
  <c r="K192" i="1"/>
  <c r="J192" i="1"/>
  <c r="O191" i="1"/>
  <c r="N191" i="1"/>
  <c r="M191" i="1"/>
  <c r="L191" i="1"/>
  <c r="K191" i="1"/>
  <c r="J191" i="1"/>
  <c r="O190" i="1"/>
  <c r="N190" i="1"/>
  <c r="M190" i="1"/>
  <c r="L190" i="1"/>
  <c r="K190" i="1"/>
  <c r="J190" i="1"/>
  <c r="O189" i="1"/>
  <c r="N189" i="1"/>
  <c r="M189" i="1"/>
  <c r="L189" i="1"/>
  <c r="K189" i="1"/>
  <c r="J189" i="1"/>
  <c r="O188" i="1"/>
  <c r="N188" i="1"/>
  <c r="M188" i="1"/>
  <c r="L188" i="1"/>
  <c r="K188" i="1"/>
  <c r="J188" i="1"/>
  <c r="O187" i="1"/>
  <c r="N187" i="1"/>
  <c r="M187" i="1"/>
  <c r="L187" i="1"/>
  <c r="K187" i="1"/>
  <c r="J187" i="1"/>
  <c r="O186" i="1"/>
  <c r="N186" i="1"/>
  <c r="M186" i="1"/>
  <c r="L186" i="1"/>
  <c r="K186" i="1"/>
  <c r="J186" i="1"/>
  <c r="O185" i="1"/>
  <c r="N185" i="1"/>
  <c r="M185" i="1"/>
  <c r="L185" i="1"/>
  <c r="K185" i="1"/>
  <c r="J185" i="1"/>
  <c r="O184" i="1"/>
  <c r="N184" i="1"/>
  <c r="M184" i="1"/>
  <c r="L184" i="1"/>
  <c r="K184" i="1"/>
  <c r="J184" i="1"/>
  <c r="O183" i="1"/>
  <c r="N183" i="1"/>
  <c r="M183" i="1"/>
  <c r="L183" i="1"/>
  <c r="K183" i="1"/>
  <c r="J183" i="1"/>
  <c r="O182" i="1"/>
  <c r="N182" i="1"/>
  <c r="M182" i="1"/>
  <c r="L182" i="1"/>
  <c r="K182" i="1"/>
  <c r="J182" i="1"/>
  <c r="O181" i="1"/>
  <c r="N181" i="1"/>
  <c r="M181" i="1"/>
  <c r="L181" i="1"/>
  <c r="K181" i="1"/>
  <c r="J181" i="1"/>
  <c r="O180" i="1"/>
  <c r="N180" i="1"/>
  <c r="M180" i="1"/>
  <c r="L180" i="1"/>
  <c r="K180" i="1"/>
  <c r="J180" i="1"/>
  <c r="O179" i="1"/>
  <c r="N179" i="1"/>
  <c r="M179" i="1"/>
  <c r="L179" i="1"/>
  <c r="K179" i="1"/>
  <c r="J179" i="1"/>
  <c r="O178" i="1"/>
  <c r="N178" i="1"/>
  <c r="M178" i="1"/>
  <c r="L178" i="1"/>
  <c r="K178" i="1"/>
  <c r="J178" i="1"/>
  <c r="O177" i="1"/>
  <c r="N177" i="1"/>
  <c r="M177" i="1"/>
  <c r="L177" i="1"/>
  <c r="K177" i="1"/>
  <c r="J177" i="1"/>
  <c r="O176" i="1"/>
  <c r="N176" i="1"/>
  <c r="M176" i="1"/>
  <c r="L176" i="1"/>
  <c r="K176" i="1"/>
  <c r="J176" i="1"/>
  <c r="O175" i="1"/>
  <c r="N175" i="1"/>
  <c r="M175" i="1"/>
  <c r="L175" i="1"/>
  <c r="K175" i="1"/>
  <c r="J175" i="1"/>
  <c r="O174" i="1"/>
  <c r="N174" i="1"/>
  <c r="M174" i="1"/>
  <c r="L174" i="1"/>
  <c r="K174" i="1"/>
  <c r="J174" i="1"/>
  <c r="O173" i="1"/>
  <c r="N173" i="1"/>
  <c r="M173" i="1"/>
  <c r="L173" i="1"/>
  <c r="K173" i="1"/>
  <c r="J173" i="1"/>
  <c r="O172" i="1"/>
  <c r="N172" i="1"/>
  <c r="M172" i="1"/>
  <c r="L172" i="1"/>
  <c r="K172" i="1"/>
  <c r="J172" i="1"/>
  <c r="O171" i="1"/>
  <c r="N171" i="1"/>
  <c r="M171" i="1"/>
  <c r="L171" i="1"/>
  <c r="K171" i="1"/>
  <c r="J171" i="1"/>
  <c r="O170" i="1"/>
  <c r="N170" i="1"/>
  <c r="M170" i="1"/>
  <c r="L170" i="1"/>
  <c r="K170" i="1"/>
  <c r="J170" i="1"/>
  <c r="O169" i="1"/>
  <c r="N169" i="1"/>
  <c r="M169" i="1"/>
  <c r="L169" i="1"/>
  <c r="K169" i="1"/>
  <c r="J169" i="1"/>
  <c r="O168" i="1"/>
  <c r="N168" i="1"/>
  <c r="M168" i="1"/>
  <c r="L168" i="1"/>
  <c r="K168" i="1"/>
  <c r="J168" i="1"/>
  <c r="O167" i="1"/>
  <c r="N167" i="1"/>
  <c r="M167" i="1"/>
  <c r="L167" i="1"/>
  <c r="K167" i="1"/>
  <c r="J167" i="1"/>
  <c r="O166" i="1"/>
  <c r="N166" i="1"/>
  <c r="M166" i="1"/>
  <c r="L166" i="1"/>
  <c r="K166" i="1"/>
  <c r="J166" i="1"/>
  <c r="O165" i="1"/>
  <c r="N165" i="1"/>
  <c r="M165" i="1"/>
  <c r="L165" i="1"/>
  <c r="K165" i="1"/>
  <c r="J165" i="1"/>
  <c r="O164" i="1"/>
  <c r="N164" i="1"/>
  <c r="M164" i="1"/>
  <c r="L164" i="1"/>
  <c r="K164" i="1"/>
  <c r="J164" i="1"/>
  <c r="O163" i="1"/>
  <c r="N163" i="1"/>
  <c r="M163" i="1"/>
  <c r="L163" i="1"/>
  <c r="K163" i="1"/>
  <c r="J163" i="1"/>
  <c r="O162" i="1"/>
  <c r="N162" i="1"/>
  <c r="M162" i="1"/>
  <c r="L162" i="1"/>
  <c r="K162" i="1"/>
  <c r="J162" i="1"/>
  <c r="O161" i="1"/>
  <c r="N161" i="1"/>
  <c r="M161" i="1"/>
  <c r="L161" i="1"/>
  <c r="K161" i="1"/>
  <c r="J161" i="1"/>
  <c r="O160" i="1"/>
  <c r="N160" i="1"/>
  <c r="M160" i="1"/>
  <c r="L160" i="1"/>
  <c r="K160" i="1"/>
  <c r="J160" i="1"/>
  <c r="O159" i="1"/>
  <c r="N159" i="1"/>
  <c r="M159" i="1"/>
  <c r="L159" i="1"/>
  <c r="K159" i="1"/>
  <c r="J159" i="1"/>
  <c r="O158" i="1"/>
  <c r="N158" i="1"/>
  <c r="M158" i="1"/>
  <c r="L158" i="1"/>
  <c r="K158" i="1"/>
  <c r="J158" i="1"/>
  <c r="O157" i="1"/>
  <c r="N157" i="1"/>
  <c r="M157" i="1"/>
  <c r="L157" i="1"/>
  <c r="K157" i="1"/>
  <c r="J157" i="1"/>
  <c r="O156" i="1"/>
  <c r="N156" i="1"/>
  <c r="M156" i="1"/>
  <c r="L156" i="1"/>
  <c r="K156" i="1"/>
  <c r="J156" i="1"/>
  <c r="O155" i="1"/>
  <c r="N155" i="1"/>
  <c r="M155" i="1"/>
  <c r="L155" i="1"/>
  <c r="K155" i="1"/>
  <c r="J155" i="1"/>
  <c r="O154" i="1"/>
  <c r="N154" i="1"/>
  <c r="M154" i="1"/>
  <c r="L154" i="1"/>
  <c r="K154" i="1"/>
  <c r="J154" i="1"/>
  <c r="O153" i="1"/>
  <c r="N153" i="1"/>
  <c r="M153" i="1"/>
  <c r="L153" i="1"/>
  <c r="K153" i="1"/>
  <c r="J153" i="1"/>
  <c r="O152" i="1"/>
  <c r="N152" i="1"/>
  <c r="M152" i="1"/>
  <c r="L152" i="1"/>
  <c r="K152" i="1"/>
  <c r="J152" i="1"/>
  <c r="O151" i="1"/>
  <c r="N151" i="1"/>
  <c r="M151" i="1"/>
  <c r="L151" i="1"/>
  <c r="K151" i="1"/>
  <c r="J151" i="1"/>
  <c r="O150" i="1"/>
  <c r="N150" i="1"/>
  <c r="M150" i="1"/>
  <c r="L150" i="1"/>
  <c r="K150" i="1"/>
  <c r="J150" i="1"/>
  <c r="O149" i="1"/>
  <c r="N149" i="1"/>
  <c r="M149" i="1"/>
  <c r="L149" i="1"/>
  <c r="K149" i="1"/>
  <c r="J149" i="1"/>
  <c r="O148" i="1"/>
  <c r="N148" i="1"/>
  <c r="M148" i="1"/>
  <c r="L148" i="1"/>
  <c r="K148" i="1"/>
  <c r="J148" i="1"/>
  <c r="O147" i="1"/>
  <c r="N147" i="1"/>
  <c r="M147" i="1"/>
  <c r="L147" i="1"/>
  <c r="K147" i="1"/>
  <c r="J147" i="1"/>
  <c r="O146" i="1"/>
  <c r="N146" i="1"/>
  <c r="M146" i="1"/>
  <c r="L146" i="1"/>
  <c r="K146" i="1"/>
  <c r="J146" i="1"/>
  <c r="O145" i="1"/>
  <c r="N145" i="1"/>
  <c r="M145" i="1"/>
  <c r="L145" i="1"/>
  <c r="K145" i="1"/>
  <c r="J145" i="1"/>
  <c r="O144" i="1"/>
  <c r="N144" i="1"/>
  <c r="M144" i="1"/>
  <c r="L144" i="1"/>
  <c r="K144" i="1"/>
  <c r="J144" i="1"/>
  <c r="O143" i="1"/>
  <c r="N143" i="1"/>
  <c r="M143" i="1"/>
  <c r="L143" i="1"/>
  <c r="K143" i="1"/>
  <c r="J143" i="1"/>
  <c r="O142" i="1"/>
  <c r="N142" i="1"/>
  <c r="M142" i="1"/>
  <c r="L142" i="1"/>
  <c r="K142" i="1"/>
  <c r="J142" i="1"/>
  <c r="O141" i="1"/>
  <c r="N141" i="1"/>
  <c r="M141" i="1"/>
  <c r="L141" i="1"/>
  <c r="K141" i="1"/>
  <c r="J141" i="1"/>
  <c r="O140" i="1"/>
  <c r="N140" i="1"/>
  <c r="M140" i="1"/>
  <c r="L140" i="1"/>
  <c r="K140" i="1"/>
  <c r="J140" i="1"/>
  <c r="O139" i="1"/>
  <c r="N139" i="1"/>
  <c r="M139" i="1"/>
  <c r="L139" i="1"/>
  <c r="K139" i="1"/>
  <c r="J139" i="1"/>
  <c r="O138" i="1"/>
  <c r="N138" i="1"/>
  <c r="M138" i="1"/>
  <c r="L138" i="1"/>
  <c r="K138" i="1"/>
  <c r="J138" i="1"/>
  <c r="O137" i="1"/>
  <c r="N137" i="1"/>
  <c r="M137" i="1"/>
  <c r="L137" i="1"/>
  <c r="K137" i="1"/>
  <c r="J137" i="1"/>
  <c r="O136" i="1"/>
  <c r="N136" i="1"/>
  <c r="M136" i="1"/>
  <c r="L136" i="1"/>
  <c r="K136" i="1"/>
  <c r="J136" i="1"/>
  <c r="O135" i="1"/>
  <c r="N135" i="1"/>
  <c r="M135" i="1"/>
  <c r="L135" i="1"/>
  <c r="K135" i="1"/>
  <c r="J135" i="1"/>
  <c r="O134" i="1"/>
  <c r="N134" i="1"/>
  <c r="M134" i="1"/>
  <c r="L134" i="1"/>
  <c r="K134" i="1"/>
  <c r="J134" i="1"/>
  <c r="O133" i="1"/>
  <c r="N133" i="1"/>
  <c r="M133" i="1"/>
  <c r="L133" i="1"/>
  <c r="K133" i="1"/>
  <c r="J133" i="1"/>
  <c r="O132" i="1"/>
  <c r="N132" i="1"/>
  <c r="M132" i="1"/>
  <c r="L132" i="1"/>
  <c r="K132" i="1"/>
  <c r="J132" i="1"/>
  <c r="O131" i="1"/>
  <c r="N131" i="1"/>
  <c r="M131" i="1"/>
  <c r="L131" i="1"/>
  <c r="K131" i="1"/>
  <c r="J131" i="1"/>
  <c r="O130" i="1"/>
  <c r="N130" i="1"/>
  <c r="M130" i="1"/>
  <c r="L130" i="1"/>
  <c r="K130" i="1"/>
  <c r="J130" i="1"/>
  <c r="O129" i="1"/>
  <c r="N129" i="1"/>
  <c r="M129" i="1"/>
  <c r="L129" i="1"/>
  <c r="K129" i="1"/>
  <c r="J129" i="1"/>
  <c r="O128" i="1"/>
  <c r="N128" i="1"/>
  <c r="M128" i="1"/>
  <c r="L128" i="1"/>
  <c r="K128" i="1"/>
  <c r="J128" i="1"/>
  <c r="O127" i="1"/>
  <c r="N127" i="1"/>
  <c r="M127" i="1"/>
  <c r="L127" i="1"/>
  <c r="K127" i="1"/>
  <c r="J127" i="1"/>
  <c r="O126" i="1"/>
  <c r="N126" i="1"/>
  <c r="M126" i="1"/>
  <c r="L126" i="1"/>
  <c r="K126" i="1"/>
  <c r="J126" i="1"/>
  <c r="O125" i="1"/>
  <c r="N125" i="1"/>
  <c r="M125" i="1"/>
  <c r="L125" i="1"/>
  <c r="K125" i="1"/>
  <c r="J125" i="1"/>
  <c r="O124" i="1"/>
  <c r="N124" i="1"/>
  <c r="M124" i="1"/>
  <c r="L124" i="1"/>
  <c r="K124" i="1"/>
  <c r="J124" i="1"/>
  <c r="O123" i="1"/>
  <c r="N123" i="1"/>
  <c r="M123" i="1"/>
  <c r="L123" i="1"/>
  <c r="K123" i="1"/>
  <c r="J123" i="1"/>
  <c r="O122" i="1"/>
  <c r="N122" i="1"/>
  <c r="M122" i="1"/>
  <c r="L122" i="1"/>
  <c r="K122" i="1"/>
  <c r="J122" i="1"/>
  <c r="O121" i="1"/>
  <c r="N121" i="1"/>
  <c r="M121" i="1"/>
  <c r="L121" i="1"/>
  <c r="K121" i="1"/>
  <c r="J121" i="1"/>
  <c r="O120" i="1"/>
  <c r="N120" i="1"/>
  <c r="M120" i="1"/>
  <c r="L120" i="1"/>
  <c r="K120" i="1"/>
  <c r="J120" i="1"/>
  <c r="O119" i="1"/>
  <c r="N119" i="1"/>
  <c r="M119" i="1"/>
  <c r="L119" i="1"/>
  <c r="K119" i="1"/>
  <c r="J119" i="1"/>
  <c r="O118" i="1"/>
  <c r="N118" i="1"/>
  <c r="M118" i="1"/>
  <c r="L118" i="1"/>
  <c r="K118" i="1"/>
  <c r="J118" i="1"/>
  <c r="O117" i="1"/>
  <c r="N117" i="1"/>
  <c r="M117" i="1"/>
  <c r="L117" i="1"/>
  <c r="K117" i="1"/>
  <c r="J117" i="1"/>
  <c r="O116" i="1"/>
  <c r="N116" i="1"/>
  <c r="M116" i="1"/>
  <c r="L116" i="1"/>
  <c r="K116" i="1"/>
  <c r="J116" i="1"/>
  <c r="O115" i="1"/>
  <c r="N115" i="1"/>
  <c r="M115" i="1"/>
  <c r="L115" i="1"/>
  <c r="K115" i="1"/>
  <c r="J115" i="1"/>
  <c r="O114" i="1"/>
  <c r="N114" i="1"/>
  <c r="M114" i="1"/>
  <c r="L114" i="1"/>
  <c r="K114" i="1"/>
  <c r="J114" i="1"/>
  <c r="O113" i="1"/>
  <c r="N113" i="1"/>
  <c r="M113" i="1"/>
  <c r="L113" i="1"/>
  <c r="K113" i="1"/>
  <c r="J113" i="1"/>
  <c r="O112" i="1"/>
  <c r="N112" i="1"/>
  <c r="M112" i="1"/>
  <c r="L112" i="1"/>
  <c r="K112" i="1"/>
  <c r="J112" i="1"/>
  <c r="O111" i="1"/>
  <c r="N111" i="1"/>
  <c r="M111" i="1"/>
  <c r="L111" i="1"/>
  <c r="K111" i="1"/>
  <c r="J111" i="1"/>
  <c r="O110" i="1"/>
  <c r="N110" i="1"/>
  <c r="M110" i="1"/>
  <c r="L110" i="1"/>
  <c r="K110" i="1"/>
  <c r="J110" i="1"/>
  <c r="O109" i="1"/>
  <c r="N109" i="1"/>
  <c r="M109" i="1"/>
  <c r="L109" i="1"/>
  <c r="K109" i="1"/>
  <c r="J109" i="1"/>
  <c r="O108" i="1"/>
  <c r="N108" i="1"/>
  <c r="M108" i="1"/>
  <c r="L108" i="1"/>
  <c r="K108" i="1"/>
  <c r="J108" i="1"/>
  <c r="O107" i="1"/>
  <c r="N107" i="1"/>
  <c r="M107" i="1"/>
  <c r="L107" i="1"/>
  <c r="K107" i="1"/>
  <c r="J107" i="1"/>
  <c r="O106" i="1"/>
  <c r="N106" i="1"/>
  <c r="M106" i="1"/>
  <c r="L106" i="1"/>
  <c r="K106" i="1"/>
  <c r="J106" i="1"/>
  <c r="O105" i="1"/>
  <c r="N105" i="1"/>
  <c r="M105" i="1"/>
  <c r="L105" i="1"/>
  <c r="K105" i="1"/>
  <c r="J105" i="1"/>
  <c r="O104" i="1"/>
  <c r="N104" i="1"/>
  <c r="M104" i="1"/>
  <c r="L104" i="1"/>
  <c r="K104" i="1"/>
  <c r="J104" i="1"/>
  <c r="O103" i="1"/>
  <c r="N103" i="1"/>
  <c r="M103" i="1"/>
  <c r="L103" i="1"/>
  <c r="K103" i="1"/>
  <c r="J103" i="1"/>
  <c r="O102" i="1"/>
  <c r="N102" i="1"/>
  <c r="M102" i="1"/>
  <c r="L102" i="1"/>
  <c r="K102" i="1"/>
  <c r="J102" i="1"/>
  <c r="O101" i="1"/>
  <c r="N101" i="1"/>
  <c r="M101" i="1"/>
  <c r="L101" i="1"/>
  <c r="K101" i="1"/>
  <c r="J101" i="1"/>
  <c r="O100" i="1"/>
  <c r="N100" i="1"/>
  <c r="M100" i="1"/>
  <c r="L100" i="1"/>
  <c r="K100" i="1"/>
  <c r="J100" i="1"/>
  <c r="O99" i="1"/>
  <c r="N99" i="1"/>
  <c r="M99" i="1"/>
  <c r="L99" i="1"/>
  <c r="K99" i="1"/>
  <c r="J99" i="1"/>
  <c r="O98" i="1"/>
  <c r="N98" i="1"/>
  <c r="M98" i="1"/>
  <c r="L98" i="1"/>
  <c r="K98" i="1"/>
  <c r="J98" i="1"/>
  <c r="O97" i="1"/>
  <c r="N97" i="1"/>
  <c r="M97" i="1"/>
  <c r="L97" i="1"/>
  <c r="K97" i="1"/>
  <c r="J97" i="1"/>
  <c r="O96" i="1"/>
  <c r="N96" i="1"/>
  <c r="M96" i="1"/>
  <c r="L96" i="1"/>
  <c r="K96" i="1"/>
  <c r="J96" i="1"/>
  <c r="O95" i="1"/>
  <c r="N95" i="1"/>
  <c r="M95" i="1"/>
  <c r="L95" i="1"/>
  <c r="K95" i="1"/>
  <c r="J95" i="1"/>
  <c r="O94" i="1"/>
  <c r="N94" i="1"/>
  <c r="M94" i="1"/>
  <c r="L94" i="1"/>
  <c r="K94" i="1"/>
  <c r="J94" i="1"/>
  <c r="O93" i="1"/>
  <c r="N93" i="1"/>
  <c r="M93" i="1"/>
  <c r="L93" i="1"/>
  <c r="K93" i="1"/>
  <c r="J93" i="1"/>
  <c r="O92" i="1"/>
  <c r="N92" i="1"/>
  <c r="M92" i="1"/>
  <c r="L92" i="1"/>
  <c r="K92" i="1"/>
  <c r="J92" i="1"/>
  <c r="O91" i="1"/>
  <c r="N91" i="1"/>
  <c r="M91" i="1"/>
  <c r="L91" i="1"/>
  <c r="K91" i="1"/>
  <c r="J91" i="1"/>
  <c r="O90" i="1"/>
  <c r="N90" i="1"/>
  <c r="M90" i="1"/>
  <c r="L90" i="1"/>
  <c r="K90" i="1"/>
  <c r="J90" i="1"/>
  <c r="O89" i="1"/>
  <c r="N89" i="1"/>
  <c r="M89" i="1"/>
  <c r="L89" i="1"/>
  <c r="K89" i="1"/>
  <c r="J89" i="1"/>
  <c r="O88" i="1"/>
  <c r="N88" i="1"/>
  <c r="M88" i="1"/>
  <c r="L88" i="1"/>
  <c r="K88" i="1"/>
  <c r="J88" i="1"/>
  <c r="O87" i="1"/>
  <c r="N87" i="1"/>
  <c r="M87" i="1"/>
  <c r="L87" i="1"/>
  <c r="K87" i="1"/>
  <c r="J87" i="1"/>
  <c r="O86" i="1"/>
  <c r="N86" i="1"/>
  <c r="M86" i="1"/>
  <c r="L86" i="1"/>
  <c r="K86" i="1"/>
  <c r="J86" i="1"/>
  <c r="O85" i="1"/>
  <c r="N85" i="1"/>
  <c r="M85" i="1"/>
  <c r="L85" i="1"/>
  <c r="K85" i="1"/>
  <c r="J85" i="1"/>
  <c r="O84" i="1"/>
  <c r="N84" i="1"/>
  <c r="M84" i="1"/>
  <c r="L84" i="1"/>
  <c r="K84" i="1"/>
  <c r="J84" i="1"/>
  <c r="O83" i="1"/>
  <c r="N83" i="1"/>
  <c r="M83" i="1"/>
  <c r="L83" i="1"/>
  <c r="K83" i="1"/>
  <c r="J83" i="1"/>
  <c r="O82" i="1"/>
  <c r="N82" i="1"/>
  <c r="M82" i="1"/>
  <c r="L82" i="1"/>
  <c r="K82" i="1"/>
  <c r="J82" i="1"/>
  <c r="O81" i="1"/>
  <c r="N81" i="1"/>
  <c r="M81" i="1"/>
  <c r="L81" i="1"/>
  <c r="K81" i="1"/>
  <c r="J81" i="1"/>
  <c r="O80" i="1"/>
  <c r="N80" i="1"/>
  <c r="M80" i="1"/>
  <c r="L80" i="1"/>
  <c r="K80" i="1"/>
  <c r="J80" i="1"/>
  <c r="O79" i="1"/>
  <c r="N79" i="1"/>
  <c r="M79" i="1"/>
  <c r="L79" i="1"/>
  <c r="K79" i="1"/>
  <c r="J79" i="1"/>
  <c r="O78" i="1"/>
  <c r="N78" i="1"/>
  <c r="M78" i="1"/>
  <c r="L78" i="1"/>
  <c r="K78" i="1"/>
  <c r="J78" i="1"/>
  <c r="O77" i="1"/>
  <c r="N77" i="1"/>
  <c r="M77" i="1"/>
  <c r="L77" i="1"/>
  <c r="K77" i="1"/>
  <c r="J77" i="1"/>
  <c r="O76" i="1"/>
  <c r="N76" i="1"/>
  <c r="M76" i="1"/>
  <c r="L76" i="1"/>
  <c r="K76" i="1"/>
  <c r="J76" i="1"/>
  <c r="O75" i="1"/>
  <c r="N75" i="1"/>
  <c r="M75" i="1"/>
  <c r="L75" i="1"/>
  <c r="K75" i="1"/>
  <c r="J75" i="1"/>
  <c r="O74" i="1"/>
  <c r="N74" i="1"/>
  <c r="M74" i="1"/>
  <c r="L74" i="1"/>
  <c r="K74" i="1"/>
  <c r="J74" i="1"/>
  <c r="O73" i="1"/>
  <c r="N73" i="1"/>
  <c r="M73" i="1"/>
  <c r="L73" i="1"/>
  <c r="K73" i="1"/>
  <c r="J73" i="1"/>
  <c r="O72" i="1"/>
  <c r="N72" i="1"/>
  <c r="M72" i="1"/>
  <c r="L72" i="1"/>
  <c r="K72" i="1"/>
  <c r="J72" i="1"/>
  <c r="O71" i="1"/>
  <c r="N71" i="1"/>
  <c r="M71" i="1"/>
  <c r="L71" i="1"/>
  <c r="K71" i="1"/>
  <c r="J71" i="1"/>
  <c r="O70" i="1"/>
  <c r="N70" i="1"/>
  <c r="M70" i="1"/>
  <c r="L70" i="1"/>
  <c r="K70" i="1"/>
  <c r="J70" i="1"/>
  <c r="O69" i="1"/>
  <c r="N69" i="1"/>
  <c r="M69" i="1"/>
  <c r="L69" i="1"/>
  <c r="K69" i="1"/>
  <c r="J69" i="1"/>
  <c r="O68" i="1"/>
  <c r="N68" i="1"/>
  <c r="M68" i="1"/>
  <c r="L68" i="1"/>
  <c r="K68" i="1"/>
  <c r="J68" i="1"/>
  <c r="O67" i="1"/>
  <c r="N67" i="1"/>
  <c r="M67" i="1"/>
  <c r="L67" i="1"/>
  <c r="K67" i="1"/>
  <c r="J67" i="1"/>
  <c r="O66" i="1"/>
  <c r="N66" i="1"/>
  <c r="M66" i="1"/>
  <c r="L66" i="1"/>
  <c r="K66" i="1"/>
  <c r="J66" i="1"/>
  <c r="O65" i="1"/>
  <c r="N65" i="1"/>
  <c r="M65" i="1"/>
  <c r="L65" i="1"/>
  <c r="K65" i="1"/>
  <c r="J65" i="1"/>
  <c r="O64" i="1"/>
  <c r="N64" i="1"/>
  <c r="M64" i="1"/>
  <c r="L64" i="1"/>
  <c r="K64" i="1"/>
  <c r="J64" i="1"/>
  <c r="O63" i="1"/>
  <c r="N63" i="1"/>
  <c r="M63" i="1"/>
  <c r="L63" i="1"/>
  <c r="K63" i="1"/>
  <c r="J63" i="1"/>
  <c r="O62" i="1"/>
  <c r="N62" i="1"/>
  <c r="M62" i="1"/>
  <c r="L62" i="1"/>
  <c r="K62" i="1"/>
  <c r="J62" i="1"/>
  <c r="O61" i="1"/>
  <c r="N61" i="1"/>
  <c r="M61" i="1"/>
  <c r="L61" i="1"/>
  <c r="K61" i="1"/>
  <c r="J61" i="1"/>
  <c r="O60" i="1"/>
  <c r="N60" i="1"/>
  <c r="M60" i="1"/>
  <c r="L60" i="1"/>
  <c r="K60" i="1"/>
  <c r="J60" i="1"/>
  <c r="O59" i="1"/>
  <c r="N59" i="1"/>
  <c r="M59" i="1"/>
  <c r="L59" i="1"/>
  <c r="K59" i="1"/>
  <c r="J59" i="1"/>
  <c r="O58" i="1"/>
  <c r="N58" i="1"/>
  <c r="M58" i="1"/>
  <c r="L58" i="1"/>
  <c r="K58" i="1"/>
  <c r="J58" i="1"/>
  <c r="O57" i="1"/>
  <c r="N57" i="1"/>
  <c r="M57" i="1"/>
  <c r="L57" i="1"/>
  <c r="K57" i="1"/>
  <c r="J57" i="1"/>
  <c r="O56" i="1"/>
  <c r="N56" i="1"/>
  <c r="M56" i="1"/>
  <c r="L56" i="1"/>
  <c r="K56" i="1"/>
  <c r="J56" i="1"/>
  <c r="O55" i="1"/>
  <c r="N55" i="1"/>
  <c r="M55" i="1"/>
  <c r="L55" i="1"/>
  <c r="K55" i="1"/>
  <c r="J55" i="1"/>
  <c r="O54" i="1"/>
  <c r="N54" i="1"/>
  <c r="M54" i="1"/>
  <c r="L54" i="1"/>
  <c r="K54" i="1"/>
  <c r="J54" i="1"/>
  <c r="O53" i="1"/>
  <c r="N53" i="1"/>
  <c r="M53" i="1"/>
  <c r="L53" i="1"/>
  <c r="K53" i="1"/>
  <c r="J53" i="1"/>
  <c r="O52" i="1"/>
  <c r="N52" i="1"/>
  <c r="M52" i="1"/>
  <c r="L52" i="1"/>
  <c r="K52" i="1"/>
  <c r="J52" i="1"/>
  <c r="O51" i="1"/>
  <c r="N51" i="1"/>
  <c r="M51" i="1"/>
  <c r="L51" i="1"/>
  <c r="K51" i="1"/>
  <c r="J51" i="1"/>
  <c r="O50" i="1"/>
  <c r="N50" i="1"/>
  <c r="M50" i="1"/>
  <c r="L50" i="1"/>
  <c r="K50" i="1"/>
  <c r="J50" i="1"/>
  <c r="O49" i="1"/>
  <c r="N49" i="1"/>
  <c r="M49" i="1"/>
  <c r="L49" i="1"/>
  <c r="K49" i="1"/>
  <c r="J49" i="1"/>
  <c r="O48" i="1"/>
  <c r="N48" i="1"/>
  <c r="M48" i="1"/>
  <c r="L48" i="1"/>
  <c r="K48" i="1"/>
  <c r="J48" i="1"/>
  <c r="O47" i="1"/>
  <c r="N47" i="1"/>
  <c r="M47" i="1"/>
  <c r="L47" i="1"/>
  <c r="K47" i="1"/>
  <c r="J47" i="1"/>
  <c r="O46" i="1"/>
  <c r="N46" i="1"/>
  <c r="M46" i="1"/>
  <c r="L46" i="1"/>
  <c r="K46" i="1"/>
  <c r="J46" i="1"/>
  <c r="O45" i="1"/>
  <c r="N45" i="1"/>
  <c r="M45" i="1"/>
  <c r="L45" i="1"/>
  <c r="K45" i="1"/>
  <c r="J45" i="1"/>
  <c r="O44" i="1"/>
  <c r="N44" i="1"/>
  <c r="M44" i="1"/>
  <c r="L44" i="1"/>
  <c r="K44" i="1"/>
  <c r="J44" i="1"/>
  <c r="O43" i="1"/>
  <c r="N43" i="1"/>
  <c r="M43" i="1"/>
  <c r="L43" i="1"/>
  <c r="K43" i="1"/>
  <c r="J43" i="1"/>
  <c r="O42" i="1"/>
  <c r="N42" i="1"/>
  <c r="M42" i="1"/>
  <c r="L42" i="1"/>
  <c r="K42" i="1"/>
  <c r="J42" i="1"/>
  <c r="O41" i="1"/>
  <c r="N41" i="1"/>
  <c r="M41" i="1"/>
  <c r="L41" i="1"/>
  <c r="K41" i="1"/>
  <c r="J41" i="1"/>
  <c r="O40" i="1"/>
  <c r="N40" i="1"/>
  <c r="M40" i="1"/>
  <c r="L40" i="1"/>
  <c r="K40" i="1"/>
  <c r="J40" i="1"/>
  <c r="O39" i="1"/>
  <c r="N39" i="1"/>
  <c r="M39" i="1"/>
  <c r="L39" i="1"/>
  <c r="K39" i="1"/>
  <c r="J39" i="1"/>
  <c r="O38" i="1"/>
  <c r="N38" i="1"/>
  <c r="M38" i="1"/>
  <c r="L38" i="1"/>
  <c r="K38" i="1"/>
  <c r="J38" i="1"/>
  <c r="O37" i="1"/>
  <c r="N37" i="1"/>
  <c r="M37" i="1"/>
  <c r="L37" i="1"/>
  <c r="K37" i="1"/>
  <c r="J37" i="1"/>
  <c r="O36" i="1"/>
  <c r="N36" i="1"/>
  <c r="M36" i="1"/>
  <c r="L36" i="1"/>
  <c r="K36" i="1"/>
  <c r="J36" i="1"/>
  <c r="O35" i="1"/>
  <c r="N35" i="1"/>
  <c r="M35" i="1"/>
  <c r="L35" i="1"/>
  <c r="K35" i="1"/>
  <c r="J35" i="1"/>
  <c r="O34" i="1"/>
  <c r="N34" i="1"/>
  <c r="M34" i="1"/>
  <c r="L34" i="1"/>
  <c r="K34" i="1"/>
  <c r="J34" i="1"/>
  <c r="O33" i="1"/>
  <c r="N33" i="1"/>
  <c r="M33" i="1"/>
  <c r="L33" i="1"/>
  <c r="K33" i="1"/>
  <c r="J33" i="1"/>
  <c r="O32" i="1"/>
  <c r="N32" i="1"/>
  <c r="M32" i="1"/>
  <c r="L32" i="1"/>
  <c r="K32" i="1"/>
  <c r="J32" i="1"/>
  <c r="O31" i="1"/>
  <c r="N31" i="1"/>
  <c r="M31" i="1"/>
  <c r="L31" i="1"/>
  <c r="K31" i="1"/>
  <c r="J31" i="1"/>
  <c r="O30" i="1"/>
  <c r="N30" i="1"/>
  <c r="M30" i="1"/>
  <c r="L30" i="1"/>
  <c r="K30" i="1"/>
  <c r="J30" i="1"/>
  <c r="O29" i="1"/>
  <c r="N29" i="1"/>
  <c r="M29" i="1"/>
  <c r="L29" i="1"/>
  <c r="K29" i="1"/>
  <c r="J29" i="1"/>
  <c r="O28" i="1"/>
  <c r="N28" i="1"/>
  <c r="M28" i="1"/>
  <c r="L28" i="1"/>
  <c r="K28" i="1"/>
  <c r="J28" i="1"/>
  <c r="O27" i="1"/>
  <c r="N27" i="1"/>
  <c r="M27" i="1"/>
  <c r="L27" i="1"/>
  <c r="K27" i="1"/>
  <c r="J27" i="1"/>
  <c r="O26" i="1"/>
  <c r="N26" i="1"/>
  <c r="M26" i="1"/>
  <c r="L26" i="1"/>
  <c r="K26" i="1"/>
  <c r="J26" i="1"/>
  <c r="O25" i="1"/>
  <c r="N25" i="1"/>
  <c r="M25" i="1"/>
  <c r="L25" i="1"/>
  <c r="K25" i="1"/>
  <c r="J25" i="1"/>
  <c r="O24" i="1"/>
  <c r="N24" i="1"/>
  <c r="M24" i="1"/>
  <c r="L24" i="1"/>
  <c r="K24" i="1"/>
  <c r="J24" i="1"/>
  <c r="O23" i="1"/>
  <c r="N23" i="1"/>
  <c r="M23" i="1"/>
  <c r="L23" i="1"/>
  <c r="K23" i="1"/>
  <c r="J23" i="1"/>
  <c r="O22" i="1"/>
  <c r="N22" i="1"/>
  <c r="M22" i="1"/>
  <c r="L22" i="1"/>
  <c r="K22" i="1"/>
  <c r="J22" i="1"/>
  <c r="O21" i="1"/>
  <c r="N21" i="1"/>
  <c r="M21" i="1"/>
  <c r="L21" i="1"/>
  <c r="K21" i="1"/>
  <c r="J21" i="1"/>
  <c r="O20" i="1"/>
  <c r="N20" i="1"/>
  <c r="M20" i="1"/>
  <c r="L20" i="1"/>
  <c r="K20" i="1"/>
  <c r="J20" i="1"/>
  <c r="O19" i="1"/>
  <c r="N19" i="1"/>
  <c r="M19" i="1"/>
  <c r="L19" i="1"/>
  <c r="K19" i="1"/>
  <c r="J19" i="1"/>
  <c r="O18" i="1"/>
  <c r="N18" i="1"/>
  <c r="M18" i="1"/>
  <c r="L18" i="1"/>
  <c r="K18" i="1"/>
  <c r="J18" i="1"/>
  <c r="O17" i="1"/>
  <c r="N17" i="1"/>
  <c r="M17" i="1"/>
  <c r="L17" i="1"/>
  <c r="K17" i="1"/>
  <c r="J17" i="1"/>
  <c r="O16" i="1"/>
  <c r="N16" i="1"/>
  <c r="M16" i="1"/>
  <c r="L16" i="1"/>
  <c r="K16" i="1"/>
  <c r="J16" i="1"/>
  <c r="O15" i="1"/>
  <c r="N15" i="1"/>
  <c r="M15" i="1"/>
  <c r="L15" i="1"/>
  <c r="K15" i="1"/>
  <c r="J15" i="1"/>
  <c r="O14" i="1"/>
  <c r="N14" i="1"/>
  <c r="M14" i="1"/>
  <c r="L14" i="1"/>
  <c r="K14" i="1"/>
  <c r="J14" i="1"/>
  <c r="O13" i="1"/>
  <c r="N13" i="1"/>
  <c r="M13" i="1"/>
  <c r="L13" i="1"/>
  <c r="K13" i="1"/>
  <c r="J13" i="1"/>
  <c r="O12" i="1"/>
  <c r="N12" i="1"/>
  <c r="M12" i="1"/>
  <c r="L12" i="1"/>
  <c r="K12" i="1"/>
  <c r="J12" i="1"/>
  <c r="O11" i="1"/>
  <c r="N11" i="1"/>
  <c r="M11" i="1"/>
  <c r="L11" i="1"/>
  <c r="K11" i="1"/>
  <c r="J11" i="1"/>
  <c r="O10" i="1"/>
  <c r="N10" i="1"/>
  <c r="M10" i="1"/>
  <c r="L10" i="1"/>
  <c r="K10" i="1"/>
  <c r="J10" i="1"/>
  <c r="S9" i="1"/>
  <c r="O9" i="1"/>
  <c r="N9" i="1"/>
  <c r="M9" i="1"/>
  <c r="L9" i="1"/>
  <c r="K9" i="1"/>
  <c r="J9" i="1"/>
  <c r="S8" i="1"/>
  <c r="O8" i="1"/>
  <c r="N8" i="1"/>
  <c r="M8" i="1"/>
  <c r="L8" i="1"/>
  <c r="K8" i="1"/>
  <c r="J8" i="1"/>
  <c r="S7" i="1"/>
  <c r="O7" i="1"/>
  <c r="N7" i="1"/>
  <c r="M7" i="1"/>
  <c r="L7" i="1"/>
  <c r="K7" i="1"/>
  <c r="J7" i="1"/>
  <c r="S6" i="1"/>
  <c r="O6" i="1"/>
  <c r="N6" i="1"/>
  <c r="M6" i="1"/>
  <c r="L6" i="1"/>
  <c r="K6" i="1"/>
  <c r="J6" i="1"/>
  <c r="S5" i="1"/>
  <c r="O5" i="1"/>
  <c r="N5" i="1"/>
  <c r="M5" i="1"/>
  <c r="L5" i="1"/>
  <c r="K5" i="1"/>
  <c r="J5" i="1"/>
  <c r="O4" i="1"/>
  <c r="N4" i="1"/>
  <c r="M4" i="1"/>
  <c r="L4" i="1"/>
  <c r="K4" i="1"/>
  <c r="J4" i="1"/>
  <c r="O3" i="1"/>
  <c r="N3" i="1"/>
  <c r="M3" i="1"/>
  <c r="L3" i="1"/>
  <c r="K3" i="1"/>
  <c r="J3" i="1"/>
  <c r="O2" i="1"/>
  <c r="N2" i="1"/>
  <c r="M2" i="1"/>
  <c r="L2" i="1"/>
  <c r="K2" i="1"/>
  <c r="J2" i="1"/>
</calcChain>
</file>

<file path=xl/sharedStrings.xml><?xml version="1.0" encoding="utf-8"?>
<sst xmlns="http://schemas.openxmlformats.org/spreadsheetml/2006/main" count="417" uniqueCount="155">
  <si>
    <t>Country</t>
  </si>
  <si>
    <t>Region</t>
  </si>
  <si>
    <t>Year</t>
  </si>
  <si>
    <t>Infant_deaths</t>
  </si>
  <si>
    <t>Under_five_deaths</t>
  </si>
  <si>
    <t>Adult_mortality</t>
  </si>
  <si>
    <t>BMI</t>
  </si>
  <si>
    <t>Life_expectancy</t>
  </si>
  <si>
    <t>round</t>
  </si>
  <si>
    <t>sqrt</t>
  </si>
  <si>
    <t>left</t>
  </si>
  <si>
    <t>right</t>
  </si>
  <si>
    <t>rank</t>
  </si>
  <si>
    <t>len</t>
  </si>
  <si>
    <t>Turkiye</t>
  </si>
  <si>
    <t>Middle East</t>
  </si>
  <si>
    <t>Spain</t>
  </si>
  <si>
    <t>European Union</t>
  </si>
  <si>
    <t>India</t>
  </si>
  <si>
    <t>Asia</t>
  </si>
  <si>
    <t>Guyana</t>
  </si>
  <si>
    <t>South America</t>
  </si>
  <si>
    <t>min</t>
  </si>
  <si>
    <t>Israel</t>
  </si>
  <si>
    <t>max</t>
  </si>
  <si>
    <t>Costa Rica</t>
  </si>
  <si>
    <t>Central America and Caribbean</t>
  </si>
  <si>
    <t xml:space="preserve"> sum BMI</t>
  </si>
  <si>
    <t>Russian Federation</t>
  </si>
  <si>
    <t>Rest of Europe</t>
  </si>
  <si>
    <t>average BMI</t>
  </si>
  <si>
    <t>Hungary</t>
  </si>
  <si>
    <t>median BMI</t>
  </si>
  <si>
    <t>Jordan</t>
  </si>
  <si>
    <t>Moldova</t>
  </si>
  <si>
    <t>Brazil</t>
  </si>
  <si>
    <t>Malta</t>
  </si>
  <si>
    <t>Bahamas, The</t>
  </si>
  <si>
    <t>Ukraine</t>
  </si>
  <si>
    <t>Switzerland</t>
  </si>
  <si>
    <t>Norway</t>
  </si>
  <si>
    <t>Finland</t>
  </si>
  <si>
    <t>Comoros</t>
  </si>
  <si>
    <t>Africa</t>
  </si>
  <si>
    <t>Japan</t>
  </si>
  <si>
    <t>Gabon</t>
  </si>
  <si>
    <t>Ghana</t>
  </si>
  <si>
    <t>Philippines</t>
  </si>
  <si>
    <t>Congo, Rep.</t>
  </si>
  <si>
    <t>Madagascar</t>
  </si>
  <si>
    <t>Estonia</t>
  </si>
  <si>
    <t>Belize</t>
  </si>
  <si>
    <t>Kazakhstan</t>
  </si>
  <si>
    <t>Cameroon</t>
  </si>
  <si>
    <t>Zimbabwe</t>
  </si>
  <si>
    <t>Bhutan</t>
  </si>
  <si>
    <t>South Africa</t>
  </si>
  <si>
    <t>Eritrea</t>
  </si>
  <si>
    <t>Germany</t>
  </si>
  <si>
    <t>Saudi Arabia</t>
  </si>
  <si>
    <t>Kiribati</t>
  </si>
  <si>
    <t>Oceania</t>
  </si>
  <si>
    <t>Seychelles</t>
  </si>
  <si>
    <t>Singapore</t>
  </si>
  <si>
    <t>Togo</t>
  </si>
  <si>
    <t>Denmark</t>
  </si>
  <si>
    <t>Gambia, The</t>
  </si>
  <si>
    <t>Sweden</t>
  </si>
  <si>
    <t>Austria</t>
  </si>
  <si>
    <t>Kyrgyz Republic</t>
  </si>
  <si>
    <t>Grenada</t>
  </si>
  <si>
    <t>Brunei Darussalam</t>
  </si>
  <si>
    <t>Greece</t>
  </si>
  <si>
    <t>Uruguay</t>
  </si>
  <si>
    <t>Croatia</t>
  </si>
  <si>
    <t>Romania</t>
  </si>
  <si>
    <t>Central African Republic</t>
  </si>
  <si>
    <t>Algeria</t>
  </si>
  <si>
    <t>Yemen, Rep.</t>
  </si>
  <si>
    <t>Armenia</t>
  </si>
  <si>
    <t>St. Vincent and the Grenadines</t>
  </si>
  <si>
    <t>Kenya</t>
  </si>
  <si>
    <t>Micronesia, Fed. Sts.</t>
  </si>
  <si>
    <t>Antigua and Barbuda</t>
  </si>
  <si>
    <t>Nepal</t>
  </si>
  <si>
    <t>Lithuania</t>
  </si>
  <si>
    <t>Vanuatu</t>
  </si>
  <si>
    <t>Afghanistan</t>
  </si>
  <si>
    <t>Kuwait</t>
  </si>
  <si>
    <t>Argentina</t>
  </si>
  <si>
    <t>Panama</t>
  </si>
  <si>
    <t>Oman</t>
  </si>
  <si>
    <t>France</t>
  </si>
  <si>
    <t>Bosnia and Herzegovina</t>
  </si>
  <si>
    <t>Mauritania</t>
  </si>
  <si>
    <t>Somalia</t>
  </si>
  <si>
    <t>Azerbaijan</t>
  </si>
  <si>
    <t>Maldives</t>
  </si>
  <si>
    <t>Guinea-Bissau</t>
  </si>
  <si>
    <t>Solomon Islands</t>
  </si>
  <si>
    <t>Congo, Dem. Rep.</t>
  </si>
  <si>
    <t>Namibia</t>
  </si>
  <si>
    <t>Eswatini</t>
  </si>
  <si>
    <t>Nigeria</t>
  </si>
  <si>
    <t>United Arab Emirates</t>
  </si>
  <si>
    <t>Burundi</t>
  </si>
  <si>
    <t>Tajikistan</t>
  </si>
  <si>
    <t>Honduras</t>
  </si>
  <si>
    <t>Colombia</t>
  </si>
  <si>
    <t>Iceland</t>
  </si>
  <si>
    <t>Morocco</t>
  </si>
  <si>
    <t>Pakistan</t>
  </si>
  <si>
    <t>Bolivia</t>
  </si>
  <si>
    <t>Cambodia</t>
  </si>
  <si>
    <t>Malaysia</t>
  </si>
  <si>
    <t>Dominican Republic</t>
  </si>
  <si>
    <t>Italy</t>
  </si>
  <si>
    <t>Vietnam</t>
  </si>
  <si>
    <t>Albania</t>
  </si>
  <si>
    <t>Czechia</t>
  </si>
  <si>
    <t>Tonga</t>
  </si>
  <si>
    <t>Slovenia</t>
  </si>
  <si>
    <t>Zambia</t>
  </si>
  <si>
    <t>Egypt, Arab Rep.</t>
  </si>
  <si>
    <t>Papua New Guinea</t>
  </si>
  <si>
    <t>Ireland</t>
  </si>
  <si>
    <t>Chile</t>
  </si>
  <si>
    <t>Syrian Arab Republic</t>
  </si>
  <si>
    <t>Serbia</t>
  </si>
  <si>
    <t>Belgium</t>
  </si>
  <si>
    <t>Cuba</t>
  </si>
  <si>
    <t>Trinidad and Tobago</t>
  </si>
  <si>
    <t>Botswana</t>
  </si>
  <si>
    <t>Paraguay</t>
  </si>
  <si>
    <t>Malawi</t>
  </si>
  <si>
    <t>Montenegro</t>
  </si>
  <si>
    <t>Timor-Leste</t>
  </si>
  <si>
    <t>Chad</t>
  </si>
  <si>
    <t>Sierra Leone</t>
  </si>
  <si>
    <t>Mali</t>
  </si>
  <si>
    <t>Bangladesh</t>
  </si>
  <si>
    <t>Latvia</t>
  </si>
  <si>
    <t>Angola</t>
  </si>
  <si>
    <t>Jamaica</t>
  </si>
  <si>
    <t>China</t>
  </si>
  <si>
    <t>Tanzania</t>
  </si>
  <si>
    <t>Ecuador</t>
  </si>
  <si>
    <t>Djibouti</t>
  </si>
  <si>
    <t>Cote d'Ivoire</t>
  </si>
  <si>
    <t>Nicaragua</t>
  </si>
  <si>
    <t>Iraq</t>
  </si>
  <si>
    <t>Myanmar</t>
  </si>
  <si>
    <t>Bahrain</t>
  </si>
  <si>
    <t>Cabo Verde</t>
  </si>
  <si>
    <t>Uganda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</si>
</sst>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B985-C9A3-4AEC-B746-39BD1860B523}">
  <dimension ref="A1:S200"/>
  <sheetViews>
    <sheetView tabSelected="1" workbookViewId="0">
      <selection activeCell="AB20" sqref="AB20"/>
    </sheetView>
  </sheetViews>
  <sheetFormatPr defaultRowHeight="15" x14ac:dyDescent="0.25"/>
  <sheetData>
    <row r="1" spans="1: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/>
      <c r="Q1" s="1"/>
      <c r="R1" s="1"/>
      <c r="S1" s="1"/>
    </row>
    <row r="2" spans="1:19" x14ac:dyDescent="0.25">
      <c r="A2" t="s">
        <v>14</v>
      </c>
      <c r="B2" t="s">
        <v>15</v>
      </c>
      <c r="C2">
        <v>2015</v>
      </c>
      <c r="D2">
        <v>11.1</v>
      </c>
      <c r="E2">
        <v>13</v>
      </c>
      <c r="F2">
        <v>105.824</v>
      </c>
      <c r="G2">
        <v>27.8</v>
      </c>
      <c r="H2">
        <v>76.5</v>
      </c>
      <c r="J2">
        <f>ROUND(F2,2)</f>
        <v>105.82</v>
      </c>
      <c r="K2">
        <f>SQRT(E2)</f>
        <v>3.6055512754639891</v>
      </c>
      <c r="L2" t="str">
        <f>LEFT(A2,3)</f>
        <v>Tur</v>
      </c>
      <c r="M2" t="str">
        <f>RIGHT(B2,3)</f>
        <v>ast</v>
      </c>
      <c r="N2">
        <f>RANK(G2,G:G,1)</f>
        <v>183</v>
      </c>
      <c r="O2">
        <f>LEN(A2)</f>
        <v>7</v>
      </c>
    </row>
    <row r="3" spans="1:19" x14ac:dyDescent="0.25">
      <c r="A3" t="s">
        <v>16</v>
      </c>
      <c r="B3" t="s">
        <v>17</v>
      </c>
      <c r="C3">
        <v>2015</v>
      </c>
      <c r="D3">
        <v>2.7</v>
      </c>
      <c r="E3">
        <v>3.3</v>
      </c>
      <c r="F3">
        <v>57.902500000000003</v>
      </c>
      <c r="G3">
        <v>26</v>
      </c>
      <c r="H3">
        <v>82.8</v>
      </c>
      <c r="J3">
        <f>ROUND(F3,2)</f>
        <v>57.9</v>
      </c>
      <c r="K3">
        <f>SQRT(E3)</f>
        <v>1.8165902124584949</v>
      </c>
      <c r="L3" t="str">
        <f>LEFT(A3,3)</f>
        <v>Spa</v>
      </c>
      <c r="M3" t="str">
        <f>RIGHT(B3,3)</f>
        <v>ion</v>
      </c>
      <c r="N3">
        <f>RANK(G3,G:G,1)</f>
        <v>132</v>
      </c>
      <c r="O3">
        <f>LEN(A3)</f>
        <v>5</v>
      </c>
    </row>
    <row r="4" spans="1:19" x14ac:dyDescent="0.25">
      <c r="A4" t="s">
        <v>18</v>
      </c>
      <c r="B4" t="s">
        <v>19</v>
      </c>
      <c r="C4">
        <v>2007</v>
      </c>
      <c r="D4">
        <v>51.5</v>
      </c>
      <c r="E4">
        <v>67.900000000000006</v>
      </c>
      <c r="F4">
        <v>201.07650000000001</v>
      </c>
      <c r="G4">
        <v>21.2</v>
      </c>
      <c r="H4">
        <v>65.400000000000006</v>
      </c>
      <c r="J4">
        <f>ROUND(F4,2)</f>
        <v>201.08</v>
      </c>
      <c r="K4">
        <f>SQRT(E4)</f>
        <v>8.2401456297810665</v>
      </c>
      <c r="L4" t="str">
        <f>LEFT(A4,3)</f>
        <v>Ind</v>
      </c>
      <c r="M4" t="str">
        <f>RIGHT(B4,3)</f>
        <v>sia</v>
      </c>
      <c r="N4">
        <f>RANK(G4,G:G,1)</f>
        <v>8</v>
      </c>
      <c r="O4">
        <f>LEN(A4)</f>
        <v>5</v>
      </c>
    </row>
    <row r="5" spans="1:19" x14ac:dyDescent="0.25">
      <c r="A5" t="s">
        <v>20</v>
      </c>
      <c r="B5" t="s">
        <v>21</v>
      </c>
      <c r="C5">
        <v>2006</v>
      </c>
      <c r="D5">
        <v>32.799999999999997</v>
      </c>
      <c r="E5">
        <v>40.5</v>
      </c>
      <c r="F5">
        <v>222.19649999999999</v>
      </c>
      <c r="G5">
        <v>25.3</v>
      </c>
      <c r="H5">
        <v>67</v>
      </c>
      <c r="J5">
        <f>ROUND(F5,2)</f>
        <v>222.2</v>
      </c>
      <c r="K5">
        <f>SQRT(E5)</f>
        <v>6.3639610306789276</v>
      </c>
      <c r="L5" t="str">
        <f>LEFT(A5,3)</f>
        <v>Guy</v>
      </c>
      <c r="M5" t="str">
        <f>RIGHT(B5,3)</f>
        <v>ica</v>
      </c>
      <c r="N5">
        <f>RANK(G5,G:G,1)</f>
        <v>94</v>
      </c>
      <c r="O5">
        <f>LEN(A5)</f>
        <v>6</v>
      </c>
      <c r="R5" t="s">
        <v>22</v>
      </c>
      <c r="S5">
        <f>MIN(F:F)</f>
        <v>49.997999999999998</v>
      </c>
    </row>
    <row r="6" spans="1:19" x14ac:dyDescent="0.25">
      <c r="A6" t="s">
        <v>23</v>
      </c>
      <c r="B6" t="s">
        <v>15</v>
      </c>
      <c r="C6">
        <v>2012</v>
      </c>
      <c r="D6">
        <v>3.4</v>
      </c>
      <c r="E6">
        <v>4.3</v>
      </c>
      <c r="F6">
        <v>57.951000000000001</v>
      </c>
      <c r="G6">
        <v>27</v>
      </c>
      <c r="H6">
        <v>81.7</v>
      </c>
      <c r="J6">
        <f>ROUND(F6,2)</f>
        <v>57.95</v>
      </c>
      <c r="K6">
        <f>SQRT(E6)</f>
        <v>2.0736441353327719</v>
      </c>
      <c r="L6" t="str">
        <f>LEFT(A6,3)</f>
        <v>Isr</v>
      </c>
      <c r="M6" t="str">
        <f>RIGHT(B6,3)</f>
        <v>ast</v>
      </c>
      <c r="N6">
        <f>RANK(G6,G:G,1)</f>
        <v>174</v>
      </c>
      <c r="O6">
        <f>LEN(A6)</f>
        <v>6</v>
      </c>
      <c r="R6" t="s">
        <v>24</v>
      </c>
      <c r="S6">
        <f>MAX(F:F)</f>
        <v>687.99300000000005</v>
      </c>
    </row>
    <row r="7" spans="1:19" x14ac:dyDescent="0.25">
      <c r="A7" t="s">
        <v>25</v>
      </c>
      <c r="B7" t="s">
        <v>26</v>
      </c>
      <c r="C7">
        <v>2006</v>
      </c>
      <c r="D7">
        <v>9.8000000000000007</v>
      </c>
      <c r="E7">
        <v>11.2</v>
      </c>
      <c r="F7">
        <v>95.22</v>
      </c>
      <c r="G7">
        <v>26.4</v>
      </c>
      <c r="H7">
        <v>78.2</v>
      </c>
      <c r="J7">
        <f>ROUND(F7,2)</f>
        <v>95.22</v>
      </c>
      <c r="K7">
        <f>SQRT(E7)</f>
        <v>3.3466401061363023</v>
      </c>
      <c r="L7" t="str">
        <f>LEFT(A7,3)</f>
        <v>Cos</v>
      </c>
      <c r="M7" t="str">
        <f>RIGHT(B7,3)</f>
        <v>ean</v>
      </c>
      <c r="N7">
        <f>RANK(G7,G:G,1)</f>
        <v>157</v>
      </c>
      <c r="O7">
        <f>LEN(A7)</f>
        <v>10</v>
      </c>
      <c r="R7" t="s">
        <v>27</v>
      </c>
      <c r="S7">
        <f>SUM(G:G)</f>
        <v>4952.8000000000011</v>
      </c>
    </row>
    <row r="8" spans="1:19" x14ac:dyDescent="0.25">
      <c r="A8" t="s">
        <v>28</v>
      </c>
      <c r="B8" t="s">
        <v>29</v>
      </c>
      <c r="C8">
        <v>2015</v>
      </c>
      <c r="D8">
        <v>6.6</v>
      </c>
      <c r="E8">
        <v>8.1999999999999993</v>
      </c>
      <c r="F8">
        <v>223</v>
      </c>
      <c r="G8">
        <v>26.2</v>
      </c>
      <c r="H8">
        <v>71.2</v>
      </c>
      <c r="J8">
        <f>ROUND(F8,2)</f>
        <v>223</v>
      </c>
      <c r="K8">
        <f>SQRT(E8)</f>
        <v>2.8635642126552705</v>
      </c>
      <c r="L8" t="str">
        <f>LEFT(A8,3)</f>
        <v>Rus</v>
      </c>
      <c r="M8" t="str">
        <f>RIGHT(B8,3)</f>
        <v>ope</v>
      </c>
      <c r="N8">
        <f>RANK(G8,G:G,1)</f>
        <v>145</v>
      </c>
      <c r="O8">
        <f>LEN(A8)</f>
        <v>18</v>
      </c>
      <c r="R8" t="s">
        <v>30</v>
      </c>
      <c r="S8">
        <f>AVERAGE(G:G)</f>
        <v>24.888442211055281</v>
      </c>
    </row>
    <row r="9" spans="1:19" x14ac:dyDescent="0.25">
      <c r="A9" t="s">
        <v>31</v>
      </c>
      <c r="B9" t="s">
        <v>17</v>
      </c>
      <c r="C9">
        <v>2000</v>
      </c>
      <c r="D9">
        <v>8.6999999999999993</v>
      </c>
      <c r="E9">
        <v>10.1</v>
      </c>
      <c r="F9">
        <v>192.96899999999999</v>
      </c>
      <c r="G9">
        <v>25.9</v>
      </c>
      <c r="H9">
        <v>71.2</v>
      </c>
      <c r="J9">
        <f>ROUND(F9,2)</f>
        <v>192.97</v>
      </c>
      <c r="K9">
        <f>SQRT(E9)</f>
        <v>3.1780497164141406</v>
      </c>
      <c r="L9" t="str">
        <f>LEFT(A9,3)</f>
        <v>Hun</v>
      </c>
      <c r="M9" t="str">
        <f>RIGHT(B9,3)</f>
        <v>ion</v>
      </c>
      <c r="N9">
        <f>RANK(G9,G:G,1)</f>
        <v>126</v>
      </c>
      <c r="O9">
        <f>LEN(A9)</f>
        <v>7</v>
      </c>
      <c r="R9" t="s">
        <v>32</v>
      </c>
      <c r="S9">
        <f>MEDIAN(G:G)</f>
        <v>25.5</v>
      </c>
    </row>
    <row r="10" spans="1:19" x14ac:dyDescent="0.25">
      <c r="A10" t="s">
        <v>33</v>
      </c>
      <c r="B10" t="s">
        <v>15</v>
      </c>
      <c r="C10">
        <v>2001</v>
      </c>
      <c r="D10">
        <v>22</v>
      </c>
      <c r="E10">
        <v>26.1</v>
      </c>
      <c r="F10">
        <v>129.76400000000001</v>
      </c>
      <c r="G10">
        <v>27.9</v>
      </c>
      <c r="H10">
        <v>71.900000000000006</v>
      </c>
      <c r="J10">
        <f>ROUND(F10,2)</f>
        <v>129.76</v>
      </c>
      <c r="K10">
        <f>SQRT(E10)</f>
        <v>5.1088159097779204</v>
      </c>
      <c r="L10" t="str">
        <f>LEFT(A10,3)</f>
        <v>Jor</v>
      </c>
      <c r="M10" t="str">
        <f>RIGHT(B10,3)</f>
        <v>ast</v>
      </c>
      <c r="N10">
        <f>RANK(G10,G:G,1)</f>
        <v>188</v>
      </c>
      <c r="O10">
        <f>LEN(A10)</f>
        <v>6</v>
      </c>
    </row>
    <row r="11" spans="1:19" x14ac:dyDescent="0.25">
      <c r="A11" t="s">
        <v>34</v>
      </c>
      <c r="B11" t="s">
        <v>29</v>
      </c>
      <c r="C11">
        <v>2008</v>
      </c>
      <c r="D11">
        <v>15.3</v>
      </c>
      <c r="E11">
        <v>17.8</v>
      </c>
      <c r="F11">
        <v>217.857</v>
      </c>
      <c r="G11">
        <v>26.5</v>
      </c>
      <c r="H11">
        <v>68.7</v>
      </c>
      <c r="J11">
        <f>ROUND(F11,2)</f>
        <v>217.86</v>
      </c>
      <c r="K11">
        <f>SQRT(E11)</f>
        <v>4.2190046219457971</v>
      </c>
      <c r="L11" t="str">
        <f>LEFT(A11,3)</f>
        <v>Mol</v>
      </c>
      <c r="M11" t="str">
        <f>RIGHT(B11,3)</f>
        <v>ope</v>
      </c>
      <c r="N11">
        <f>RANK(G11,G:G,1)</f>
        <v>160</v>
      </c>
      <c r="O11">
        <f>LEN(A11)</f>
        <v>7</v>
      </c>
    </row>
    <row r="12" spans="1:19" x14ac:dyDescent="0.25">
      <c r="A12" t="s">
        <v>35</v>
      </c>
      <c r="B12" t="s">
        <v>21</v>
      </c>
      <c r="C12">
        <v>2012</v>
      </c>
      <c r="D12">
        <v>15.4</v>
      </c>
      <c r="E12">
        <v>17.2</v>
      </c>
      <c r="F12">
        <v>150.22450000000001</v>
      </c>
      <c r="G12">
        <v>26.1</v>
      </c>
      <c r="H12">
        <v>74.2</v>
      </c>
      <c r="J12">
        <f>ROUND(F12,2)</f>
        <v>150.22</v>
      </c>
      <c r="K12">
        <f>SQRT(E12)</f>
        <v>4.1472882706655438</v>
      </c>
      <c r="L12" t="str">
        <f>LEFT(A12,3)</f>
        <v>Bra</v>
      </c>
      <c r="M12" t="str">
        <f>RIGHT(B12,3)</f>
        <v>ica</v>
      </c>
      <c r="N12">
        <f>RANK(G12,G:G,1)</f>
        <v>139</v>
      </c>
      <c r="O12">
        <f>LEN(A12)</f>
        <v>6</v>
      </c>
    </row>
    <row r="13" spans="1:19" x14ac:dyDescent="0.25">
      <c r="A13" t="s">
        <v>36</v>
      </c>
      <c r="B13" t="s">
        <v>17</v>
      </c>
      <c r="C13">
        <v>2007</v>
      </c>
      <c r="D13">
        <v>6</v>
      </c>
      <c r="E13">
        <v>6.8</v>
      </c>
      <c r="F13">
        <v>58.018500000000003</v>
      </c>
      <c r="G13">
        <v>27.1</v>
      </c>
      <c r="H13">
        <v>79.8</v>
      </c>
      <c r="J13">
        <f>ROUND(F13,2)</f>
        <v>58.02</v>
      </c>
      <c r="K13">
        <f>SQRT(E13)</f>
        <v>2.6076809620810595</v>
      </c>
      <c r="L13" t="str">
        <f>LEFT(A13,3)</f>
        <v>Mal</v>
      </c>
      <c r="M13" t="str">
        <f>RIGHT(B13,3)</f>
        <v>ion</v>
      </c>
      <c r="N13">
        <f>RANK(G13,G:G,1)</f>
        <v>176</v>
      </c>
      <c r="O13">
        <f>LEN(A13)</f>
        <v>5</v>
      </c>
    </row>
    <row r="14" spans="1:19" x14ac:dyDescent="0.25">
      <c r="A14" t="s">
        <v>37</v>
      </c>
      <c r="B14" t="s">
        <v>26</v>
      </c>
      <c r="C14">
        <v>2011</v>
      </c>
      <c r="D14">
        <v>13</v>
      </c>
      <c r="E14">
        <v>15.2</v>
      </c>
      <c r="F14">
        <v>165.53800000000001</v>
      </c>
      <c r="G14">
        <v>27.6</v>
      </c>
      <c r="H14">
        <v>72.3</v>
      </c>
      <c r="J14">
        <f>ROUND(F14,2)</f>
        <v>165.54</v>
      </c>
      <c r="K14">
        <f>SQRT(E14)</f>
        <v>3.8987177379235853</v>
      </c>
      <c r="L14" t="str">
        <f>LEFT(A14,3)</f>
        <v>Bah</v>
      </c>
      <c r="M14" t="str">
        <f>RIGHT(B14,3)</f>
        <v>ean</v>
      </c>
      <c r="N14">
        <f>RANK(G14,G:G,1)</f>
        <v>181</v>
      </c>
      <c r="O14">
        <f>LEN(A14)</f>
        <v>12</v>
      </c>
    </row>
    <row r="15" spans="1:19" x14ac:dyDescent="0.25">
      <c r="A15" t="s">
        <v>38</v>
      </c>
      <c r="B15" t="s">
        <v>29</v>
      </c>
      <c r="C15">
        <v>2002</v>
      </c>
      <c r="D15">
        <v>14.3</v>
      </c>
      <c r="E15">
        <v>16.600000000000001</v>
      </c>
      <c r="F15">
        <v>261.60950000000003</v>
      </c>
      <c r="G15">
        <v>25.8</v>
      </c>
      <c r="H15">
        <v>68.3</v>
      </c>
      <c r="J15">
        <f>ROUND(F15,2)</f>
        <v>261.61</v>
      </c>
      <c r="K15">
        <f>SQRT(E15)</f>
        <v>4.0743097574926725</v>
      </c>
      <c r="L15" t="str">
        <f>LEFT(A15,3)</f>
        <v>Ukr</v>
      </c>
      <c r="M15" t="str">
        <f>RIGHT(B15,3)</f>
        <v>ope</v>
      </c>
      <c r="N15">
        <f>RANK(G15,G:G,1)</f>
        <v>115</v>
      </c>
      <c r="O15">
        <f>LEN(A15)</f>
        <v>7</v>
      </c>
    </row>
    <row r="16" spans="1:19" x14ac:dyDescent="0.25">
      <c r="A16" t="s">
        <v>39</v>
      </c>
      <c r="B16" t="s">
        <v>29</v>
      </c>
      <c r="C16">
        <v>2006</v>
      </c>
      <c r="D16">
        <v>4.2</v>
      </c>
      <c r="E16">
        <v>4.9000000000000004</v>
      </c>
      <c r="F16">
        <v>63.243499999999997</v>
      </c>
      <c r="G16">
        <v>25</v>
      </c>
      <c r="H16">
        <v>81.5</v>
      </c>
      <c r="J16">
        <f>ROUND(F16,2)</f>
        <v>63.24</v>
      </c>
      <c r="K16">
        <f>SQRT(E16)</f>
        <v>2.2135943621178655</v>
      </c>
      <c r="L16" t="str">
        <f>LEFT(A16,3)</f>
        <v>Swi</v>
      </c>
      <c r="M16" t="str">
        <f>RIGHT(B16,3)</f>
        <v>ope</v>
      </c>
      <c r="N16">
        <f>RANK(G16,G:G,1)</f>
        <v>85</v>
      </c>
      <c r="O16">
        <f>LEN(A16)</f>
        <v>11</v>
      </c>
    </row>
    <row r="17" spans="1:15" x14ac:dyDescent="0.25">
      <c r="A17" t="s">
        <v>40</v>
      </c>
      <c r="B17" t="s">
        <v>29</v>
      </c>
      <c r="C17">
        <v>2001</v>
      </c>
      <c r="D17">
        <v>3.8</v>
      </c>
      <c r="E17">
        <v>4.7</v>
      </c>
      <c r="F17">
        <v>80.495500000000007</v>
      </c>
      <c r="G17">
        <v>25.7</v>
      </c>
      <c r="H17">
        <v>78.8</v>
      </c>
      <c r="J17">
        <f>ROUND(F17,2)</f>
        <v>80.5</v>
      </c>
      <c r="K17">
        <f>SQRT(E17)</f>
        <v>2.16794833886788</v>
      </c>
      <c r="L17" t="str">
        <f>LEFT(A17,3)</f>
        <v>Nor</v>
      </c>
      <c r="M17" t="str">
        <f>RIGHT(B17,3)</f>
        <v>ope</v>
      </c>
      <c r="N17">
        <f>RANK(G17,G:G,1)</f>
        <v>111</v>
      </c>
      <c r="O17">
        <f>LEN(A17)</f>
        <v>6</v>
      </c>
    </row>
    <row r="18" spans="1:15" x14ac:dyDescent="0.25">
      <c r="A18" t="s">
        <v>41</v>
      </c>
      <c r="B18" t="s">
        <v>17</v>
      </c>
      <c r="C18">
        <v>2013</v>
      </c>
      <c r="D18">
        <v>2.2000000000000002</v>
      </c>
      <c r="E18">
        <v>2.7</v>
      </c>
      <c r="F18">
        <v>76.566999999999993</v>
      </c>
      <c r="G18">
        <v>26</v>
      </c>
      <c r="H18">
        <v>81</v>
      </c>
      <c r="J18">
        <f>ROUND(F18,2)</f>
        <v>76.569999999999993</v>
      </c>
      <c r="K18">
        <f>SQRT(E18)</f>
        <v>1.6431676725154984</v>
      </c>
      <c r="L18" t="str">
        <f>LEFT(A18,3)</f>
        <v>Fin</v>
      </c>
      <c r="M18" t="str">
        <f>RIGHT(B18,3)</f>
        <v>ion</v>
      </c>
      <c r="N18">
        <f>RANK(G18,G:G,1)</f>
        <v>132</v>
      </c>
      <c r="O18">
        <f>LEN(A18)</f>
        <v>7</v>
      </c>
    </row>
    <row r="19" spans="1:15" x14ac:dyDescent="0.25">
      <c r="A19" t="s">
        <v>42</v>
      </c>
      <c r="B19" t="s">
        <v>43</v>
      </c>
      <c r="C19">
        <v>2007</v>
      </c>
      <c r="D19">
        <v>66.8</v>
      </c>
      <c r="E19">
        <v>91.9</v>
      </c>
      <c r="F19">
        <v>255.88149999999999</v>
      </c>
      <c r="G19">
        <v>23.5</v>
      </c>
      <c r="H19">
        <v>60.7</v>
      </c>
      <c r="J19">
        <f>ROUND(F19,2)</f>
        <v>255.88</v>
      </c>
      <c r="K19">
        <f>SQRT(E19)</f>
        <v>9.5864487689654929</v>
      </c>
      <c r="L19" t="str">
        <f>LEFT(A19,3)</f>
        <v>Com</v>
      </c>
      <c r="M19" t="str">
        <f>RIGHT(B19,3)</f>
        <v>ica</v>
      </c>
      <c r="N19">
        <f>RANK(G19,G:G,1)</f>
        <v>58</v>
      </c>
      <c r="O19">
        <f>LEN(A19)</f>
        <v>7</v>
      </c>
    </row>
    <row r="20" spans="1:15" x14ac:dyDescent="0.25">
      <c r="A20" t="s">
        <v>44</v>
      </c>
      <c r="B20" t="s">
        <v>19</v>
      </c>
      <c r="C20">
        <v>2005</v>
      </c>
      <c r="D20">
        <v>2.8</v>
      </c>
      <c r="E20">
        <v>3.7</v>
      </c>
      <c r="F20">
        <v>68.768000000000001</v>
      </c>
      <c r="G20">
        <v>22.6</v>
      </c>
      <c r="H20">
        <v>81.900000000000006</v>
      </c>
      <c r="J20">
        <f>ROUND(F20,2)</f>
        <v>68.77</v>
      </c>
      <c r="K20">
        <f>SQRT(E20)</f>
        <v>1.9235384061671346</v>
      </c>
      <c r="L20" t="str">
        <f>LEFT(A20,3)</f>
        <v>Jap</v>
      </c>
      <c r="M20" t="str">
        <f>RIGHT(B20,3)</f>
        <v>sia</v>
      </c>
      <c r="N20">
        <f>RANK(G20,G:G,1)</f>
        <v>36</v>
      </c>
      <c r="O20">
        <f>LEN(A20)</f>
        <v>5</v>
      </c>
    </row>
    <row r="21" spans="1:15" x14ac:dyDescent="0.25">
      <c r="A21" t="s">
        <v>45</v>
      </c>
      <c r="B21" t="s">
        <v>43</v>
      </c>
      <c r="C21">
        <v>2012</v>
      </c>
      <c r="D21">
        <v>39.1</v>
      </c>
      <c r="E21">
        <v>57.1</v>
      </c>
      <c r="F21">
        <v>256.88</v>
      </c>
      <c r="G21">
        <v>24.9</v>
      </c>
      <c r="H21">
        <v>62.9</v>
      </c>
      <c r="J21">
        <f>ROUND(F21,2)</f>
        <v>256.88</v>
      </c>
      <c r="K21">
        <f>SQRT(E21)</f>
        <v>7.556454194925025</v>
      </c>
      <c r="L21" t="str">
        <f>LEFT(A21,3)</f>
        <v>Gab</v>
      </c>
      <c r="M21" t="str">
        <f>RIGHT(B21,3)</f>
        <v>ica</v>
      </c>
      <c r="N21">
        <f>RANK(G21,G:G,1)</f>
        <v>82</v>
      </c>
      <c r="O21">
        <f>LEN(A21)</f>
        <v>5</v>
      </c>
    </row>
    <row r="22" spans="1:15" x14ac:dyDescent="0.25">
      <c r="A22" t="s">
        <v>46</v>
      </c>
      <c r="B22" t="s">
        <v>43</v>
      </c>
      <c r="C22">
        <v>2011</v>
      </c>
      <c r="D22">
        <v>45.2</v>
      </c>
      <c r="E22">
        <v>65.900000000000006</v>
      </c>
      <c r="F22">
        <v>257.0865</v>
      </c>
      <c r="G22">
        <v>23.7</v>
      </c>
      <c r="H22">
        <v>61.4</v>
      </c>
      <c r="J22">
        <f>ROUND(F22,2)</f>
        <v>257.08999999999997</v>
      </c>
      <c r="K22">
        <f>SQRT(E22)</f>
        <v>8.1178814970409618</v>
      </c>
      <c r="L22" t="str">
        <f>LEFT(A22,3)</f>
        <v>Gha</v>
      </c>
      <c r="M22" t="str">
        <f>RIGHT(B22,3)</f>
        <v>ica</v>
      </c>
      <c r="N22">
        <f>RANK(G22,G:G,1)</f>
        <v>64</v>
      </c>
      <c r="O22">
        <f>LEN(A22)</f>
        <v>5</v>
      </c>
    </row>
    <row r="23" spans="1:15" x14ac:dyDescent="0.25">
      <c r="A23" t="s">
        <v>47</v>
      </c>
      <c r="B23" t="s">
        <v>19</v>
      </c>
      <c r="C23">
        <v>2001</v>
      </c>
      <c r="D23">
        <v>28.2</v>
      </c>
      <c r="E23">
        <v>36.9</v>
      </c>
      <c r="F23">
        <v>214.26849999999999</v>
      </c>
      <c r="G23">
        <v>22.3</v>
      </c>
      <c r="H23">
        <v>68.8</v>
      </c>
      <c r="J23">
        <f>ROUND(F23,2)</f>
        <v>214.27</v>
      </c>
      <c r="K23">
        <f>SQRT(E23)</f>
        <v>6.0745370193949757</v>
      </c>
      <c r="L23" t="str">
        <f>LEFT(A23,3)</f>
        <v>Phi</v>
      </c>
      <c r="M23" t="str">
        <f>RIGHT(B23,3)</f>
        <v>sia</v>
      </c>
      <c r="N23">
        <f>RANK(G23,G:G,1)</f>
        <v>28</v>
      </c>
      <c r="O23">
        <f>LEN(A23)</f>
        <v>11</v>
      </c>
    </row>
    <row r="24" spans="1:15" x14ac:dyDescent="0.25">
      <c r="A24" t="s">
        <v>48</v>
      </c>
      <c r="B24" t="s">
        <v>43</v>
      </c>
      <c r="C24">
        <v>2003</v>
      </c>
      <c r="D24">
        <v>64.599999999999994</v>
      </c>
      <c r="E24">
        <v>100.2</v>
      </c>
      <c r="F24">
        <v>406.702</v>
      </c>
      <c r="G24">
        <v>22.3</v>
      </c>
      <c r="H24">
        <v>53.8</v>
      </c>
      <c r="J24">
        <f>ROUND(F24,2)</f>
        <v>406.7</v>
      </c>
      <c r="K24">
        <f>SQRT(E24)</f>
        <v>10.009995004993758</v>
      </c>
      <c r="L24" t="str">
        <f>LEFT(A24,3)</f>
        <v>Con</v>
      </c>
      <c r="M24" t="str">
        <f>RIGHT(B24,3)</f>
        <v>ica</v>
      </c>
      <c r="N24">
        <f>RANK(G24,G:G,1)</f>
        <v>28</v>
      </c>
      <c r="O24">
        <f>LEN(A24)</f>
        <v>11</v>
      </c>
    </row>
    <row r="25" spans="1:15" x14ac:dyDescent="0.25">
      <c r="A25" t="s">
        <v>49</v>
      </c>
      <c r="B25" t="s">
        <v>43</v>
      </c>
      <c r="C25">
        <v>2011</v>
      </c>
      <c r="D25">
        <v>45.8</v>
      </c>
      <c r="E25">
        <v>67</v>
      </c>
      <c r="F25">
        <v>237.6755</v>
      </c>
      <c r="G25">
        <v>21.1</v>
      </c>
      <c r="H25">
        <v>63.8</v>
      </c>
      <c r="J25">
        <f>ROUND(F25,2)</f>
        <v>237.68</v>
      </c>
      <c r="K25">
        <f>SQRT(E25)</f>
        <v>8.1853527718724504</v>
      </c>
      <c r="L25" t="str">
        <f>LEFT(A25,3)</f>
        <v>Mad</v>
      </c>
      <c r="M25" t="str">
        <f>RIGHT(B25,3)</f>
        <v>ica</v>
      </c>
      <c r="N25">
        <f>RANK(G25,G:G,1)</f>
        <v>6</v>
      </c>
      <c r="O25">
        <f>LEN(A25)</f>
        <v>10</v>
      </c>
    </row>
    <row r="26" spans="1:15" x14ac:dyDescent="0.25">
      <c r="A26" t="s">
        <v>50</v>
      </c>
      <c r="B26" t="s">
        <v>17</v>
      </c>
      <c r="C26">
        <v>2004</v>
      </c>
      <c r="D26">
        <v>6.2</v>
      </c>
      <c r="E26">
        <v>7.8</v>
      </c>
      <c r="F26">
        <v>194.0975</v>
      </c>
      <c r="G26">
        <v>25.8</v>
      </c>
      <c r="H26">
        <v>71.900000000000006</v>
      </c>
      <c r="J26">
        <f>ROUND(F26,2)</f>
        <v>194.1</v>
      </c>
      <c r="K26">
        <f>SQRT(E26)</f>
        <v>2.7928480087537881</v>
      </c>
      <c r="L26" t="str">
        <f>LEFT(A26,3)</f>
        <v>Est</v>
      </c>
      <c r="M26" t="str">
        <f>RIGHT(B26,3)</f>
        <v>ion</v>
      </c>
      <c r="N26">
        <f>RANK(G26,G:G,1)</f>
        <v>115</v>
      </c>
      <c r="O26">
        <f>LEN(A26)</f>
        <v>7</v>
      </c>
    </row>
    <row r="27" spans="1:15" x14ac:dyDescent="0.25">
      <c r="A27" t="s">
        <v>51</v>
      </c>
      <c r="B27" t="s">
        <v>26</v>
      </c>
      <c r="C27">
        <v>2013</v>
      </c>
      <c r="D27">
        <v>14.6</v>
      </c>
      <c r="E27">
        <v>16.899999999999999</v>
      </c>
      <c r="F27">
        <v>179.14400000000001</v>
      </c>
      <c r="G27">
        <v>28.7</v>
      </c>
      <c r="H27">
        <v>73.5</v>
      </c>
      <c r="J27">
        <f>ROUND(F27,2)</f>
        <v>179.14</v>
      </c>
      <c r="K27">
        <f>SQRT(E27)</f>
        <v>4.1109609582188931</v>
      </c>
      <c r="L27" t="str">
        <f>LEFT(A27,3)</f>
        <v>Bel</v>
      </c>
      <c r="M27" t="str">
        <f>RIGHT(B27,3)</f>
        <v>ean</v>
      </c>
      <c r="N27">
        <f>RANK(G27,G:G,1)</f>
        <v>194</v>
      </c>
      <c r="O27">
        <f>LEN(A27)</f>
        <v>6</v>
      </c>
    </row>
    <row r="28" spans="1:15" x14ac:dyDescent="0.25">
      <c r="A28" t="s">
        <v>52</v>
      </c>
      <c r="B28" t="s">
        <v>19</v>
      </c>
      <c r="C28">
        <v>2006</v>
      </c>
      <c r="D28">
        <v>25.6</v>
      </c>
      <c r="E28">
        <v>29</v>
      </c>
      <c r="F28">
        <v>270.98849999999999</v>
      </c>
      <c r="G28">
        <v>25.8</v>
      </c>
      <c r="H28">
        <v>66.2</v>
      </c>
      <c r="J28">
        <f>ROUND(F28,2)</f>
        <v>270.99</v>
      </c>
      <c r="K28">
        <f>SQRT(E28)</f>
        <v>5.3851648071345037</v>
      </c>
      <c r="L28" t="str">
        <f>LEFT(A28,3)</f>
        <v>Kaz</v>
      </c>
      <c r="M28" t="str">
        <f>RIGHT(B28,3)</f>
        <v>sia</v>
      </c>
      <c r="N28">
        <f>RANK(G28,G:G,1)</f>
        <v>115</v>
      </c>
      <c r="O28">
        <f>LEN(A28)</f>
        <v>10</v>
      </c>
    </row>
    <row r="29" spans="1:15" x14ac:dyDescent="0.25">
      <c r="A29" t="s">
        <v>53</v>
      </c>
      <c r="B29" t="s">
        <v>43</v>
      </c>
      <c r="C29">
        <v>2015</v>
      </c>
      <c r="D29">
        <v>57</v>
      </c>
      <c r="E29">
        <v>88</v>
      </c>
      <c r="F29">
        <v>340.12650000000002</v>
      </c>
      <c r="G29">
        <v>24.3</v>
      </c>
      <c r="H29">
        <v>57.6</v>
      </c>
      <c r="J29">
        <f>ROUND(F29,2)</f>
        <v>340.13</v>
      </c>
      <c r="K29">
        <f>SQRT(E29)</f>
        <v>9.3808315196468595</v>
      </c>
      <c r="L29" t="str">
        <f>LEFT(A29,3)</f>
        <v>Cam</v>
      </c>
      <c r="M29" t="str">
        <f>RIGHT(B29,3)</f>
        <v>ica</v>
      </c>
      <c r="N29">
        <f>RANK(G29,G:G,1)</f>
        <v>73</v>
      </c>
      <c r="O29">
        <f>LEN(A29)</f>
        <v>8</v>
      </c>
    </row>
    <row r="30" spans="1:15" x14ac:dyDescent="0.25">
      <c r="A30" t="s">
        <v>33</v>
      </c>
      <c r="B30" t="s">
        <v>15</v>
      </c>
      <c r="C30">
        <v>2006</v>
      </c>
      <c r="D30">
        <v>19.2</v>
      </c>
      <c r="E30">
        <v>22.5</v>
      </c>
      <c r="F30">
        <v>121.011</v>
      </c>
      <c r="G30">
        <v>28.3</v>
      </c>
      <c r="H30">
        <v>72.8</v>
      </c>
      <c r="J30">
        <f>ROUND(F30,2)</f>
        <v>121.01</v>
      </c>
      <c r="K30">
        <f>SQRT(E30)</f>
        <v>4.7434164902525691</v>
      </c>
      <c r="L30" t="str">
        <f>LEFT(A30,3)</f>
        <v>Jor</v>
      </c>
      <c r="M30" t="str">
        <f>RIGHT(B30,3)</f>
        <v>ast</v>
      </c>
      <c r="N30">
        <f>RANK(G30,G:G,1)</f>
        <v>191</v>
      </c>
      <c r="O30">
        <f>LEN(A30)</f>
        <v>6</v>
      </c>
    </row>
    <row r="31" spans="1:15" x14ac:dyDescent="0.25">
      <c r="A31" t="s">
        <v>54</v>
      </c>
      <c r="B31" t="s">
        <v>43</v>
      </c>
      <c r="C31">
        <v>2009</v>
      </c>
      <c r="D31">
        <v>54</v>
      </c>
      <c r="E31">
        <v>91.3</v>
      </c>
      <c r="F31">
        <v>551.91150000000005</v>
      </c>
      <c r="G31">
        <v>23.6</v>
      </c>
      <c r="H31">
        <v>48.4</v>
      </c>
      <c r="J31">
        <f>ROUND(F31,2)</f>
        <v>551.91</v>
      </c>
      <c r="K31">
        <f>SQRT(E31)</f>
        <v>9.5551033484730024</v>
      </c>
      <c r="L31" t="str">
        <f>LEFT(A31,3)</f>
        <v>Zim</v>
      </c>
      <c r="M31" t="str">
        <f>RIGHT(B31,3)</f>
        <v>ica</v>
      </c>
      <c r="N31">
        <f>RANK(G31,G:G,1)</f>
        <v>61</v>
      </c>
      <c r="O31">
        <f>LEN(A31)</f>
        <v>8</v>
      </c>
    </row>
    <row r="32" spans="1:15" x14ac:dyDescent="0.25">
      <c r="A32" t="s">
        <v>55</v>
      </c>
      <c r="B32" t="s">
        <v>19</v>
      </c>
      <c r="C32">
        <v>2005</v>
      </c>
      <c r="D32">
        <v>44.7</v>
      </c>
      <c r="E32">
        <v>57.5</v>
      </c>
      <c r="F32">
        <v>253.2655</v>
      </c>
      <c r="G32">
        <v>22.8</v>
      </c>
      <c r="H32">
        <v>65.3</v>
      </c>
      <c r="J32">
        <f>ROUND(F32,2)</f>
        <v>253.27</v>
      </c>
      <c r="K32">
        <f>SQRT(E32)</f>
        <v>7.5828754440515507</v>
      </c>
      <c r="L32" t="str">
        <f>LEFT(A32,3)</f>
        <v>Bhu</v>
      </c>
      <c r="M32" t="str">
        <f>RIGHT(B32,3)</f>
        <v>sia</v>
      </c>
      <c r="N32">
        <f>RANK(G32,G:G,1)</f>
        <v>42</v>
      </c>
      <c r="O32">
        <f>LEN(A32)</f>
        <v>6</v>
      </c>
    </row>
    <row r="33" spans="1:15" x14ac:dyDescent="0.25">
      <c r="A33" t="s">
        <v>39</v>
      </c>
      <c r="B33" t="s">
        <v>29</v>
      </c>
      <c r="C33">
        <v>2010</v>
      </c>
      <c r="D33">
        <v>3.9</v>
      </c>
      <c r="E33">
        <v>4.5999999999999996</v>
      </c>
      <c r="F33">
        <v>56.910499999999999</v>
      </c>
      <c r="G33">
        <v>25.1</v>
      </c>
      <c r="H33">
        <v>82.2</v>
      </c>
      <c r="J33">
        <f>ROUND(F33,2)</f>
        <v>56.91</v>
      </c>
      <c r="K33">
        <f>SQRT(E33)</f>
        <v>2.1447610589527217</v>
      </c>
      <c r="L33" t="str">
        <f>LEFT(A33,3)</f>
        <v>Swi</v>
      </c>
      <c r="M33" t="str">
        <f>RIGHT(B33,3)</f>
        <v>ope</v>
      </c>
      <c r="N33">
        <f>RANK(G33,G:G,1)</f>
        <v>89</v>
      </c>
      <c r="O33">
        <f>LEN(A33)</f>
        <v>11</v>
      </c>
    </row>
    <row r="34" spans="1:15" x14ac:dyDescent="0.25">
      <c r="A34" t="s">
        <v>56</v>
      </c>
      <c r="B34" t="s">
        <v>43</v>
      </c>
      <c r="C34">
        <v>2006</v>
      </c>
      <c r="D34">
        <v>48.7</v>
      </c>
      <c r="E34">
        <v>79.2</v>
      </c>
      <c r="F34">
        <v>515.71799999999996</v>
      </c>
      <c r="G34">
        <v>26.6</v>
      </c>
      <c r="H34">
        <v>53.8</v>
      </c>
      <c r="J34">
        <f>ROUND(F34,2)</f>
        <v>515.72</v>
      </c>
      <c r="K34">
        <f>SQRT(E34)</f>
        <v>8.8994381845147963</v>
      </c>
      <c r="L34" t="str">
        <f>LEFT(A34,3)</f>
        <v>Sou</v>
      </c>
      <c r="M34" t="str">
        <f>RIGHT(B34,3)</f>
        <v>ica</v>
      </c>
      <c r="N34">
        <f>RANK(G34,G:G,1)</f>
        <v>165</v>
      </c>
      <c r="O34">
        <f>LEN(A34)</f>
        <v>12</v>
      </c>
    </row>
    <row r="35" spans="1:15" x14ac:dyDescent="0.25">
      <c r="A35" t="s">
        <v>33</v>
      </c>
      <c r="B35" t="s">
        <v>15</v>
      </c>
      <c r="C35">
        <v>2012</v>
      </c>
      <c r="D35">
        <v>16.2</v>
      </c>
      <c r="E35">
        <v>19</v>
      </c>
      <c r="F35">
        <v>113.2855</v>
      </c>
      <c r="G35">
        <v>28.7</v>
      </c>
      <c r="H35">
        <v>73.7</v>
      </c>
      <c r="J35">
        <f>ROUND(F35,2)</f>
        <v>113.29</v>
      </c>
      <c r="K35">
        <f>SQRT(E35)</f>
        <v>4.358898943540674</v>
      </c>
      <c r="L35" t="str">
        <f>LEFT(A35,3)</f>
        <v>Jor</v>
      </c>
      <c r="M35" t="str">
        <f>RIGHT(B35,3)</f>
        <v>ast</v>
      </c>
      <c r="N35">
        <f>RANK(G35,G:G,1)</f>
        <v>194</v>
      </c>
      <c r="O35">
        <f>LEN(A35)</f>
        <v>6</v>
      </c>
    </row>
    <row r="36" spans="1:15" x14ac:dyDescent="0.25">
      <c r="A36" t="s">
        <v>57</v>
      </c>
      <c r="B36" t="s">
        <v>43</v>
      </c>
      <c r="C36">
        <v>2012</v>
      </c>
      <c r="D36">
        <v>36.799999999999997</v>
      </c>
      <c r="E36">
        <v>51.2</v>
      </c>
      <c r="F36">
        <v>274.029</v>
      </c>
      <c r="G36">
        <v>20.6</v>
      </c>
      <c r="H36">
        <v>63.2</v>
      </c>
      <c r="J36">
        <f>ROUND(F36,2)</f>
        <v>274.02999999999997</v>
      </c>
      <c r="K36">
        <f>SQRT(E36)</f>
        <v>7.1554175279993268</v>
      </c>
      <c r="L36" t="str">
        <f>LEFT(A36,3)</f>
        <v>Eri</v>
      </c>
      <c r="M36" t="str">
        <f>RIGHT(B36,3)</f>
        <v>ica</v>
      </c>
      <c r="N36">
        <f>RANK(G36,G:G,1)</f>
        <v>1</v>
      </c>
      <c r="O36">
        <f>LEN(A36)</f>
        <v>7</v>
      </c>
    </row>
    <row r="37" spans="1:15" x14ac:dyDescent="0.25">
      <c r="A37" t="s">
        <v>58</v>
      </c>
      <c r="B37" t="s">
        <v>17</v>
      </c>
      <c r="C37">
        <v>2010</v>
      </c>
      <c r="D37">
        <v>3.5</v>
      </c>
      <c r="E37">
        <v>4.2</v>
      </c>
      <c r="F37">
        <v>77.603999999999999</v>
      </c>
      <c r="G37">
        <v>26.3</v>
      </c>
      <c r="H37">
        <v>80</v>
      </c>
      <c r="J37">
        <f>ROUND(F37,2)</f>
        <v>77.599999999999994</v>
      </c>
      <c r="K37">
        <f>SQRT(E37)</f>
        <v>2.0493901531919199</v>
      </c>
      <c r="L37" t="str">
        <f>LEFT(A37,3)</f>
        <v>Ger</v>
      </c>
      <c r="M37" t="str">
        <f>RIGHT(B37,3)</f>
        <v>ion</v>
      </c>
      <c r="N37">
        <f>RANK(G37,G:G,1)</f>
        <v>150</v>
      </c>
      <c r="O37">
        <f>LEN(A37)</f>
        <v>7</v>
      </c>
    </row>
    <row r="38" spans="1:15" x14ac:dyDescent="0.25">
      <c r="A38" t="s">
        <v>59</v>
      </c>
      <c r="B38" t="s">
        <v>15</v>
      </c>
      <c r="C38">
        <v>2014</v>
      </c>
      <c r="D38">
        <v>8.3000000000000007</v>
      </c>
      <c r="E38">
        <v>9.6</v>
      </c>
      <c r="F38">
        <v>89.12</v>
      </c>
      <c r="G38">
        <v>28.3</v>
      </c>
      <c r="H38">
        <v>74.5</v>
      </c>
      <c r="J38">
        <f>ROUND(F38,2)</f>
        <v>89.12</v>
      </c>
      <c r="K38">
        <f>SQRT(E38)</f>
        <v>3.0983866769659336</v>
      </c>
      <c r="L38" t="str">
        <f>LEFT(A38,3)</f>
        <v>Sau</v>
      </c>
      <c r="M38" t="str">
        <f>RIGHT(B38,3)</f>
        <v>ast</v>
      </c>
      <c r="N38">
        <f>RANK(G38,G:G,1)</f>
        <v>191</v>
      </c>
      <c r="O38">
        <f>LEN(A38)</f>
        <v>12</v>
      </c>
    </row>
    <row r="39" spans="1:15" x14ac:dyDescent="0.25">
      <c r="A39" t="s">
        <v>60</v>
      </c>
      <c r="B39" t="s">
        <v>61</v>
      </c>
      <c r="C39">
        <v>2004</v>
      </c>
      <c r="D39">
        <v>49.4</v>
      </c>
      <c r="E39">
        <v>64.599999999999994</v>
      </c>
      <c r="F39">
        <v>214.77449999999999</v>
      </c>
      <c r="G39">
        <v>29.1</v>
      </c>
      <c r="H39">
        <v>64.2</v>
      </c>
      <c r="J39">
        <f>ROUND(F39,2)</f>
        <v>214.77</v>
      </c>
      <c r="K39">
        <f>SQRT(E39)</f>
        <v>8.0374125189640466</v>
      </c>
      <c r="L39" t="str">
        <f>LEFT(A39,3)</f>
        <v>Kir</v>
      </c>
      <c r="M39" t="str">
        <f>RIGHT(B39,3)</f>
        <v>nia</v>
      </c>
      <c r="N39">
        <f>RANK(G39,G:G,1)</f>
        <v>197</v>
      </c>
      <c r="O39">
        <f>LEN(A39)</f>
        <v>8</v>
      </c>
    </row>
    <row r="40" spans="1:15" x14ac:dyDescent="0.25">
      <c r="A40" t="s">
        <v>62</v>
      </c>
      <c r="B40" t="s">
        <v>43</v>
      </c>
      <c r="C40">
        <v>2011</v>
      </c>
      <c r="D40">
        <v>12.2</v>
      </c>
      <c r="E40">
        <v>14.2</v>
      </c>
      <c r="F40">
        <v>154.45050000000001</v>
      </c>
      <c r="G40">
        <v>26.3</v>
      </c>
      <c r="H40">
        <v>72.7</v>
      </c>
      <c r="J40">
        <f>ROUND(F40,2)</f>
        <v>154.44999999999999</v>
      </c>
      <c r="K40">
        <f>SQRT(E40)</f>
        <v>3.7682887362833544</v>
      </c>
      <c r="L40" t="str">
        <f>LEFT(A40,3)</f>
        <v>Sey</v>
      </c>
      <c r="M40" t="str">
        <f>RIGHT(B40,3)</f>
        <v>ica</v>
      </c>
      <c r="N40">
        <f>RANK(G40,G:G,1)</f>
        <v>150</v>
      </c>
      <c r="O40">
        <f>LEN(A40)</f>
        <v>10</v>
      </c>
    </row>
    <row r="41" spans="1:15" x14ac:dyDescent="0.25">
      <c r="A41" t="s">
        <v>49</v>
      </c>
      <c r="B41" t="s">
        <v>43</v>
      </c>
      <c r="C41">
        <v>2012</v>
      </c>
      <c r="D41">
        <v>44.6</v>
      </c>
      <c r="E41">
        <v>64.8</v>
      </c>
      <c r="F41">
        <v>232.446</v>
      </c>
      <c r="G41">
        <v>21.1</v>
      </c>
      <c r="H41">
        <v>64.3</v>
      </c>
      <c r="J41">
        <f>ROUND(F41,2)</f>
        <v>232.45</v>
      </c>
      <c r="K41">
        <f>SQRT(E41)</f>
        <v>8.0498447189992426</v>
      </c>
      <c r="L41" t="str">
        <f>LEFT(A41,3)</f>
        <v>Mad</v>
      </c>
      <c r="M41" t="str">
        <f>RIGHT(B41,3)</f>
        <v>ica</v>
      </c>
      <c r="N41">
        <f>RANK(G41,G:G,1)</f>
        <v>6</v>
      </c>
      <c r="O41">
        <f>LEN(A41)</f>
        <v>10</v>
      </c>
    </row>
    <row r="42" spans="1:15" x14ac:dyDescent="0.25">
      <c r="A42" t="s">
        <v>63</v>
      </c>
      <c r="B42" t="s">
        <v>19</v>
      </c>
      <c r="C42">
        <v>2014</v>
      </c>
      <c r="D42">
        <v>2.2000000000000002</v>
      </c>
      <c r="E42">
        <v>2.7</v>
      </c>
      <c r="F42">
        <v>52.393000000000001</v>
      </c>
      <c r="G42">
        <v>23.6</v>
      </c>
      <c r="H42">
        <v>82.5</v>
      </c>
      <c r="J42">
        <f>ROUND(F42,2)</f>
        <v>52.39</v>
      </c>
      <c r="K42">
        <f>SQRT(E42)</f>
        <v>1.6431676725154984</v>
      </c>
      <c r="L42" t="str">
        <f>LEFT(A42,3)</f>
        <v>Sin</v>
      </c>
      <c r="M42" t="str">
        <f>RIGHT(B42,3)</f>
        <v>sia</v>
      </c>
      <c r="N42">
        <f>RANK(G42,G:G,1)</f>
        <v>61</v>
      </c>
      <c r="O42">
        <f>LEN(A42)</f>
        <v>9</v>
      </c>
    </row>
    <row r="43" spans="1:15" x14ac:dyDescent="0.25">
      <c r="A43" t="s">
        <v>64</v>
      </c>
      <c r="B43" t="s">
        <v>43</v>
      </c>
      <c r="C43">
        <v>2008</v>
      </c>
      <c r="D43">
        <v>61.4</v>
      </c>
      <c r="E43">
        <v>94.4</v>
      </c>
      <c r="F43">
        <v>318.7475</v>
      </c>
      <c r="G43">
        <v>22.9</v>
      </c>
      <c r="H43">
        <v>56.2</v>
      </c>
      <c r="J43">
        <f>ROUND(F43,2)</f>
        <v>318.75</v>
      </c>
      <c r="K43">
        <f>SQRT(E43)</f>
        <v>9.7159662411928949</v>
      </c>
      <c r="L43" t="str">
        <f>LEFT(A43,3)</f>
        <v>Tog</v>
      </c>
      <c r="M43" t="str">
        <f>RIGHT(B43,3)</f>
        <v>ica</v>
      </c>
      <c r="N43">
        <f>RANK(G43,G:G,1)</f>
        <v>43</v>
      </c>
      <c r="O43">
        <f>LEN(A43)</f>
        <v>4</v>
      </c>
    </row>
    <row r="44" spans="1:15" x14ac:dyDescent="0.25">
      <c r="A44" t="s">
        <v>65</v>
      </c>
      <c r="B44" t="s">
        <v>17</v>
      </c>
      <c r="C44">
        <v>2009</v>
      </c>
      <c r="D44">
        <v>3.6</v>
      </c>
      <c r="E44">
        <v>4.2</v>
      </c>
      <c r="F44">
        <v>85.813500000000005</v>
      </c>
      <c r="G44">
        <v>25.3</v>
      </c>
      <c r="H44">
        <v>78.599999999999994</v>
      </c>
      <c r="J44">
        <f>ROUND(F44,2)</f>
        <v>85.81</v>
      </c>
      <c r="K44">
        <f>SQRT(E44)</f>
        <v>2.0493901531919199</v>
      </c>
      <c r="L44" t="str">
        <f>LEFT(A44,3)</f>
        <v>Den</v>
      </c>
      <c r="M44" t="str">
        <f>RIGHT(B44,3)</f>
        <v>ion</v>
      </c>
      <c r="N44">
        <f>RANK(G44,G:G,1)</f>
        <v>94</v>
      </c>
      <c r="O44">
        <f>LEN(A44)</f>
        <v>7</v>
      </c>
    </row>
    <row r="45" spans="1:15" x14ac:dyDescent="0.25">
      <c r="A45" t="s">
        <v>66</v>
      </c>
      <c r="B45" t="s">
        <v>43</v>
      </c>
      <c r="C45">
        <v>2015</v>
      </c>
      <c r="D45">
        <v>39.700000000000003</v>
      </c>
      <c r="E45">
        <v>59.8</v>
      </c>
      <c r="F45">
        <v>261.70650000000001</v>
      </c>
      <c r="G45">
        <v>23.9</v>
      </c>
      <c r="H45">
        <v>60.9</v>
      </c>
      <c r="J45">
        <f>ROUND(F45,2)</f>
        <v>261.70999999999998</v>
      </c>
      <c r="K45">
        <f>SQRT(E45)</f>
        <v>7.7330459716724818</v>
      </c>
      <c r="L45" t="str">
        <f>LEFT(A45,3)</f>
        <v>Gam</v>
      </c>
      <c r="M45" t="str">
        <f>RIGHT(B45,3)</f>
        <v>ica</v>
      </c>
      <c r="N45">
        <f>RANK(G45,G:G,1)</f>
        <v>67</v>
      </c>
      <c r="O45">
        <f>LEN(A45)</f>
        <v>11</v>
      </c>
    </row>
    <row r="46" spans="1:15" x14ac:dyDescent="0.25">
      <c r="A46" t="s">
        <v>25</v>
      </c>
      <c r="B46" t="s">
        <v>26</v>
      </c>
      <c r="C46">
        <v>2014</v>
      </c>
      <c r="D46">
        <v>7.9</v>
      </c>
      <c r="E46">
        <v>9.3000000000000007</v>
      </c>
      <c r="F46">
        <v>87.236999999999995</v>
      </c>
      <c r="G46">
        <v>27.2</v>
      </c>
      <c r="H46">
        <v>79.400000000000006</v>
      </c>
      <c r="J46">
        <f>ROUND(F46,2)</f>
        <v>87.24</v>
      </c>
      <c r="K46">
        <f>SQRT(E46)</f>
        <v>3.0495901363953815</v>
      </c>
      <c r="L46" t="str">
        <f>LEFT(A46,3)</f>
        <v>Cos</v>
      </c>
      <c r="M46" t="str">
        <f>RIGHT(B46,3)</f>
        <v>ean</v>
      </c>
      <c r="N46">
        <f>RANK(G46,G:G,1)</f>
        <v>177</v>
      </c>
      <c r="O46">
        <f>LEN(A46)</f>
        <v>10</v>
      </c>
    </row>
    <row r="47" spans="1:15" x14ac:dyDescent="0.25">
      <c r="A47" t="s">
        <v>51</v>
      </c>
      <c r="B47" t="s">
        <v>26</v>
      </c>
      <c r="C47">
        <v>2010</v>
      </c>
      <c r="D47">
        <v>16.2</v>
      </c>
      <c r="E47">
        <v>18.899999999999999</v>
      </c>
      <c r="F47">
        <v>181.584</v>
      </c>
      <c r="G47">
        <v>28.4</v>
      </c>
      <c r="H47">
        <v>72.099999999999994</v>
      </c>
      <c r="J47">
        <f>ROUND(F47,2)</f>
        <v>181.58</v>
      </c>
      <c r="K47">
        <f>SQRT(E47)</f>
        <v>4.3474130238568316</v>
      </c>
      <c r="L47" t="str">
        <f>LEFT(A47,3)</f>
        <v>Bel</v>
      </c>
      <c r="M47" t="str">
        <f>RIGHT(B47,3)</f>
        <v>ean</v>
      </c>
      <c r="N47">
        <f>RANK(G47,G:G,1)</f>
        <v>193</v>
      </c>
      <c r="O47">
        <f>LEN(A47)</f>
        <v>6</v>
      </c>
    </row>
    <row r="48" spans="1:15" x14ac:dyDescent="0.25">
      <c r="A48" t="s">
        <v>67</v>
      </c>
      <c r="B48" t="s">
        <v>17</v>
      </c>
      <c r="C48">
        <v>2010</v>
      </c>
      <c r="D48">
        <v>2.5</v>
      </c>
      <c r="E48">
        <v>3.1</v>
      </c>
      <c r="F48">
        <v>57.491999999999997</v>
      </c>
      <c r="G48">
        <v>25.8</v>
      </c>
      <c r="H48">
        <v>81.5</v>
      </c>
      <c r="J48">
        <f>ROUND(F48,2)</f>
        <v>57.49</v>
      </c>
      <c r="K48">
        <f>SQRT(E48)</f>
        <v>1.7606816861659009</v>
      </c>
      <c r="L48" t="str">
        <f>LEFT(A48,3)</f>
        <v>Swe</v>
      </c>
      <c r="M48" t="str">
        <f>RIGHT(B48,3)</f>
        <v>ion</v>
      </c>
      <c r="N48">
        <f>RANK(G48,G:G,1)</f>
        <v>115</v>
      </c>
      <c r="O48">
        <f>LEN(A48)</f>
        <v>6</v>
      </c>
    </row>
    <row r="49" spans="1:15" x14ac:dyDescent="0.25">
      <c r="A49" t="s">
        <v>68</v>
      </c>
      <c r="B49" t="s">
        <v>17</v>
      </c>
      <c r="C49">
        <v>2014</v>
      </c>
      <c r="D49">
        <v>3.1</v>
      </c>
      <c r="E49">
        <v>3.8</v>
      </c>
      <c r="F49">
        <v>65.814999999999998</v>
      </c>
      <c r="G49">
        <v>25.5</v>
      </c>
      <c r="H49">
        <v>81.5</v>
      </c>
      <c r="J49">
        <f>ROUND(F49,2)</f>
        <v>65.819999999999993</v>
      </c>
      <c r="K49">
        <f>SQRT(E49)</f>
        <v>1.9493588689617927</v>
      </c>
      <c r="L49" t="str">
        <f>LEFT(A49,3)</f>
        <v>Aus</v>
      </c>
      <c r="M49" t="str">
        <f>RIGHT(B49,3)</f>
        <v>ion</v>
      </c>
      <c r="N49">
        <f>RANK(G49,G:G,1)</f>
        <v>100</v>
      </c>
      <c r="O49">
        <f>LEN(A49)</f>
        <v>7</v>
      </c>
    </row>
    <row r="50" spans="1:15" x14ac:dyDescent="0.25">
      <c r="A50" t="s">
        <v>69</v>
      </c>
      <c r="B50" t="s">
        <v>19</v>
      </c>
      <c r="C50">
        <v>2012</v>
      </c>
      <c r="D50">
        <v>23.2</v>
      </c>
      <c r="E50">
        <v>26.1</v>
      </c>
      <c r="F50">
        <v>183.86250000000001</v>
      </c>
      <c r="G50">
        <v>26.1</v>
      </c>
      <c r="H50">
        <v>70</v>
      </c>
      <c r="J50">
        <f>ROUND(F50,2)</f>
        <v>183.86</v>
      </c>
      <c r="K50">
        <f>SQRT(E50)</f>
        <v>5.1088159097779204</v>
      </c>
      <c r="L50" t="str">
        <f>LEFT(A50,3)</f>
        <v>Kyr</v>
      </c>
      <c r="M50" t="str">
        <f>RIGHT(B50,3)</f>
        <v>sia</v>
      </c>
      <c r="N50">
        <f>RANK(G50,G:G,1)</f>
        <v>139</v>
      </c>
      <c r="O50">
        <f>LEN(A50)</f>
        <v>15</v>
      </c>
    </row>
    <row r="51" spans="1:15" x14ac:dyDescent="0.25">
      <c r="A51" t="s">
        <v>70</v>
      </c>
      <c r="B51" t="s">
        <v>26</v>
      </c>
      <c r="C51">
        <v>2013</v>
      </c>
      <c r="D51">
        <v>13.8</v>
      </c>
      <c r="E51">
        <v>15.8</v>
      </c>
      <c r="F51">
        <v>143.83150000000001</v>
      </c>
      <c r="G51">
        <v>26.7</v>
      </c>
      <c r="H51">
        <v>72.599999999999994</v>
      </c>
      <c r="J51">
        <f>ROUND(F51,2)</f>
        <v>143.83000000000001</v>
      </c>
      <c r="K51">
        <f>SQRT(E51)</f>
        <v>3.9749213828703582</v>
      </c>
      <c r="L51" t="str">
        <f>LEFT(A51,3)</f>
        <v>Gre</v>
      </c>
      <c r="M51" t="str">
        <f>RIGHT(B51,3)</f>
        <v>ean</v>
      </c>
      <c r="N51">
        <f>RANK(G51,G:G,1)</f>
        <v>169</v>
      </c>
      <c r="O51">
        <f>LEN(A51)</f>
        <v>7</v>
      </c>
    </row>
    <row r="52" spans="1:15" x14ac:dyDescent="0.25">
      <c r="A52" t="s">
        <v>71</v>
      </c>
      <c r="B52" t="s">
        <v>19</v>
      </c>
      <c r="C52">
        <v>2010</v>
      </c>
      <c r="D52">
        <v>7.9</v>
      </c>
      <c r="E52">
        <v>9.6999999999999993</v>
      </c>
      <c r="F52">
        <v>91.945499999999996</v>
      </c>
      <c r="G52">
        <v>26.4</v>
      </c>
      <c r="H52">
        <v>74.7</v>
      </c>
      <c r="J52">
        <f>ROUND(F52,2)</f>
        <v>91.95</v>
      </c>
      <c r="K52">
        <f>SQRT(E52)</f>
        <v>3.1144823004794873</v>
      </c>
      <c r="L52" t="str">
        <f>LEFT(A52,3)</f>
        <v>Bru</v>
      </c>
      <c r="M52" t="str">
        <f>RIGHT(B52,3)</f>
        <v>sia</v>
      </c>
      <c r="N52">
        <f>RANK(G52,G:G,1)</f>
        <v>157</v>
      </c>
      <c r="O52">
        <f>LEN(A52)</f>
        <v>17</v>
      </c>
    </row>
    <row r="53" spans="1:15" x14ac:dyDescent="0.25">
      <c r="A53" t="s">
        <v>72</v>
      </c>
      <c r="B53" t="s">
        <v>17</v>
      </c>
      <c r="C53">
        <v>2009</v>
      </c>
      <c r="D53">
        <v>3.4</v>
      </c>
      <c r="E53">
        <v>3.9</v>
      </c>
      <c r="F53">
        <v>75.947999999999993</v>
      </c>
      <c r="G53">
        <v>27</v>
      </c>
      <c r="H53">
        <v>80.2</v>
      </c>
      <c r="J53">
        <f>ROUND(F53,2)</f>
        <v>75.95</v>
      </c>
      <c r="K53">
        <f>SQRT(E53)</f>
        <v>1.9748417658131499</v>
      </c>
      <c r="L53" t="str">
        <f>LEFT(A53,3)</f>
        <v>Gre</v>
      </c>
      <c r="M53" t="str">
        <f>RIGHT(B53,3)</f>
        <v>ion</v>
      </c>
      <c r="N53">
        <f>RANK(G53,G:G,1)</f>
        <v>174</v>
      </c>
      <c r="O53">
        <f>LEN(A53)</f>
        <v>6</v>
      </c>
    </row>
    <row r="54" spans="1:15" x14ac:dyDescent="0.25">
      <c r="A54" t="s">
        <v>40</v>
      </c>
      <c r="B54" t="s">
        <v>29</v>
      </c>
      <c r="C54">
        <v>2010</v>
      </c>
      <c r="D54">
        <v>2.7</v>
      </c>
      <c r="E54">
        <v>3.3</v>
      </c>
      <c r="F54">
        <v>64.861999999999995</v>
      </c>
      <c r="G54">
        <v>26.4</v>
      </c>
      <c r="H54">
        <v>81</v>
      </c>
      <c r="J54">
        <f>ROUND(F54,2)</f>
        <v>64.86</v>
      </c>
      <c r="K54">
        <f>SQRT(E54)</f>
        <v>1.8165902124584949</v>
      </c>
      <c r="L54" t="str">
        <f>LEFT(A54,3)</f>
        <v>Nor</v>
      </c>
      <c r="M54" t="str">
        <f>RIGHT(B54,3)</f>
        <v>ope</v>
      </c>
      <c r="N54">
        <f>RANK(G54,G:G,1)</f>
        <v>157</v>
      </c>
      <c r="O54">
        <f>LEN(A54)</f>
        <v>6</v>
      </c>
    </row>
    <row r="55" spans="1:15" x14ac:dyDescent="0.25">
      <c r="A55" t="s">
        <v>73</v>
      </c>
      <c r="B55" t="s">
        <v>21</v>
      </c>
      <c r="C55">
        <v>2006</v>
      </c>
      <c r="D55">
        <v>11.7</v>
      </c>
      <c r="E55">
        <v>13.5</v>
      </c>
      <c r="F55">
        <v>116.762</v>
      </c>
      <c r="G55">
        <v>26.3</v>
      </c>
      <c r="H55">
        <v>76</v>
      </c>
      <c r="J55">
        <f>ROUND(F55,2)</f>
        <v>116.76</v>
      </c>
      <c r="K55">
        <f>SQRT(E55)</f>
        <v>3.6742346141747673</v>
      </c>
      <c r="L55" t="str">
        <f>LEFT(A55,3)</f>
        <v>Uru</v>
      </c>
      <c r="M55" t="str">
        <f>RIGHT(B55,3)</f>
        <v>ica</v>
      </c>
      <c r="N55">
        <f>RANK(G55,G:G,1)</f>
        <v>150</v>
      </c>
      <c r="O55">
        <f>LEN(A55)</f>
        <v>7</v>
      </c>
    </row>
    <row r="56" spans="1:15" x14ac:dyDescent="0.25">
      <c r="A56" t="s">
        <v>74</v>
      </c>
      <c r="B56" t="s">
        <v>17</v>
      </c>
      <c r="C56">
        <v>2006</v>
      </c>
      <c r="D56">
        <v>5.5</v>
      </c>
      <c r="E56">
        <v>6.4</v>
      </c>
      <c r="F56">
        <v>109.298</v>
      </c>
      <c r="G56">
        <v>26.2</v>
      </c>
      <c r="H56">
        <v>75.8</v>
      </c>
      <c r="J56">
        <f>ROUND(F56,2)</f>
        <v>109.3</v>
      </c>
      <c r="K56">
        <f>SQRT(E56)</f>
        <v>2.5298221281347035</v>
      </c>
      <c r="L56" t="str">
        <f>LEFT(A56,3)</f>
        <v>Cro</v>
      </c>
      <c r="M56" t="str">
        <f>RIGHT(B56,3)</f>
        <v>ion</v>
      </c>
      <c r="N56">
        <f>RANK(G56,G:G,1)</f>
        <v>145</v>
      </c>
      <c r="O56">
        <f>LEN(A56)</f>
        <v>7</v>
      </c>
    </row>
    <row r="57" spans="1:15" x14ac:dyDescent="0.25">
      <c r="A57" t="s">
        <v>75</v>
      </c>
      <c r="B57" t="s">
        <v>17</v>
      </c>
      <c r="C57">
        <v>2008</v>
      </c>
      <c r="D57">
        <v>11.9</v>
      </c>
      <c r="E57">
        <v>14</v>
      </c>
      <c r="F57">
        <v>151.86150000000001</v>
      </c>
      <c r="G57">
        <v>25.8</v>
      </c>
      <c r="H57">
        <v>72.599999999999994</v>
      </c>
      <c r="J57">
        <f>ROUND(F57,2)</f>
        <v>151.86000000000001</v>
      </c>
      <c r="K57">
        <f>SQRT(E57)</f>
        <v>3.7416573867739413</v>
      </c>
      <c r="L57" t="str">
        <f>LEFT(A57,3)</f>
        <v>Rom</v>
      </c>
      <c r="M57" t="str">
        <f>RIGHT(B57,3)</f>
        <v>ion</v>
      </c>
      <c r="N57">
        <f>RANK(G57,G:G,1)</f>
        <v>115</v>
      </c>
      <c r="O57">
        <f>LEN(A57)</f>
        <v>7</v>
      </c>
    </row>
    <row r="58" spans="1:15" x14ac:dyDescent="0.25">
      <c r="A58" t="s">
        <v>76</v>
      </c>
      <c r="B58" t="s">
        <v>43</v>
      </c>
      <c r="C58">
        <v>2011</v>
      </c>
      <c r="D58">
        <v>96.7</v>
      </c>
      <c r="E58">
        <v>140.5</v>
      </c>
      <c r="F58">
        <v>463.613</v>
      </c>
      <c r="G58">
        <v>22.5</v>
      </c>
      <c r="H58">
        <v>48</v>
      </c>
      <c r="J58">
        <f>ROUND(F58,2)</f>
        <v>463.61</v>
      </c>
      <c r="K58">
        <f>SQRT(E58)</f>
        <v>11.853269591129697</v>
      </c>
      <c r="L58" t="str">
        <f>LEFT(A58,3)</f>
        <v>Cen</v>
      </c>
      <c r="M58" t="str">
        <f>RIGHT(B58,3)</f>
        <v>ica</v>
      </c>
      <c r="N58">
        <f>RANK(G58,G:G,1)</f>
        <v>33</v>
      </c>
      <c r="O58">
        <f>LEN(A58)</f>
        <v>24</v>
      </c>
    </row>
    <row r="59" spans="1:15" x14ac:dyDescent="0.25">
      <c r="A59" t="s">
        <v>77</v>
      </c>
      <c r="B59" t="s">
        <v>43</v>
      </c>
      <c r="C59">
        <v>2015</v>
      </c>
      <c r="D59">
        <v>21.6</v>
      </c>
      <c r="E59">
        <v>25.2</v>
      </c>
      <c r="F59">
        <v>95.8155</v>
      </c>
      <c r="G59">
        <v>25.5</v>
      </c>
      <c r="H59">
        <v>76.099999999999994</v>
      </c>
      <c r="J59">
        <f>ROUND(F59,2)</f>
        <v>95.82</v>
      </c>
      <c r="K59">
        <f>SQRT(E59)</f>
        <v>5.0199601592044534</v>
      </c>
      <c r="L59" t="str">
        <f>LEFT(A59,3)</f>
        <v>Alg</v>
      </c>
      <c r="M59" t="str">
        <f>RIGHT(B59,3)</f>
        <v>ica</v>
      </c>
      <c r="N59">
        <f>RANK(G59,G:G,1)</f>
        <v>100</v>
      </c>
      <c r="O59">
        <f>LEN(A59)</f>
        <v>7</v>
      </c>
    </row>
    <row r="60" spans="1:15" x14ac:dyDescent="0.25">
      <c r="A60" t="s">
        <v>78</v>
      </c>
      <c r="B60" t="s">
        <v>15</v>
      </c>
      <c r="C60">
        <v>2011</v>
      </c>
      <c r="D60">
        <v>45.3</v>
      </c>
      <c r="E60">
        <v>58.5</v>
      </c>
      <c r="F60">
        <v>231.94450000000001</v>
      </c>
      <c r="G60">
        <v>23.4</v>
      </c>
      <c r="H60">
        <v>65.8</v>
      </c>
      <c r="J60">
        <f>ROUND(F60,2)</f>
        <v>231.94</v>
      </c>
      <c r="K60">
        <f>SQRT(E60)</f>
        <v>7.6485292703891776</v>
      </c>
      <c r="L60" t="str">
        <f>LEFT(A60,3)</f>
        <v>Yem</v>
      </c>
      <c r="M60" t="str">
        <f>RIGHT(B60,3)</f>
        <v>ast</v>
      </c>
      <c r="N60">
        <f>RANK(G60,G:G,1)</f>
        <v>55</v>
      </c>
      <c r="O60">
        <f>LEN(A60)</f>
        <v>11</v>
      </c>
    </row>
    <row r="61" spans="1:15" x14ac:dyDescent="0.25">
      <c r="A61" t="s">
        <v>79</v>
      </c>
      <c r="B61" t="s">
        <v>29</v>
      </c>
      <c r="C61">
        <v>2009</v>
      </c>
      <c r="D61">
        <v>17.2</v>
      </c>
      <c r="E61">
        <v>19.2</v>
      </c>
      <c r="F61">
        <v>139.36150000000001</v>
      </c>
      <c r="G61">
        <v>26</v>
      </c>
      <c r="H61">
        <v>73.099999999999994</v>
      </c>
      <c r="J61">
        <f>ROUND(F61,2)</f>
        <v>139.36000000000001</v>
      </c>
      <c r="K61">
        <f>SQRT(E61)</f>
        <v>4.3817804600413286</v>
      </c>
      <c r="L61" t="str">
        <f>LEFT(A61,3)</f>
        <v>Arm</v>
      </c>
      <c r="M61" t="str">
        <f>RIGHT(B61,3)</f>
        <v>ope</v>
      </c>
      <c r="N61">
        <f>RANK(G61,G:G,1)</f>
        <v>132</v>
      </c>
      <c r="O61">
        <f>LEN(A61)</f>
        <v>7</v>
      </c>
    </row>
    <row r="62" spans="1:15" x14ac:dyDescent="0.25">
      <c r="A62" t="s">
        <v>54</v>
      </c>
      <c r="B62" t="s">
        <v>43</v>
      </c>
      <c r="C62">
        <v>2004</v>
      </c>
      <c r="D62">
        <v>51.2</v>
      </c>
      <c r="E62">
        <v>92.4</v>
      </c>
      <c r="F62">
        <v>686.63900000000001</v>
      </c>
      <c r="G62">
        <v>23.4</v>
      </c>
      <c r="H62">
        <v>43.1</v>
      </c>
      <c r="J62">
        <f>ROUND(F62,2)</f>
        <v>686.64</v>
      </c>
      <c r="K62">
        <f>SQRT(E62)</f>
        <v>9.6124918725583335</v>
      </c>
      <c r="L62" t="str">
        <f>LEFT(A62,3)</f>
        <v>Zim</v>
      </c>
      <c r="M62" t="str">
        <f>RIGHT(B62,3)</f>
        <v>ica</v>
      </c>
      <c r="N62">
        <f>RANK(G62,G:G,1)</f>
        <v>55</v>
      </c>
      <c r="O62">
        <f>LEN(A62)</f>
        <v>8</v>
      </c>
    </row>
    <row r="63" spans="1:15" x14ac:dyDescent="0.25">
      <c r="A63" t="s">
        <v>80</v>
      </c>
      <c r="B63" t="s">
        <v>26</v>
      </c>
      <c r="C63">
        <v>2003</v>
      </c>
      <c r="D63">
        <v>19</v>
      </c>
      <c r="E63">
        <v>21.7</v>
      </c>
      <c r="F63">
        <v>179.18700000000001</v>
      </c>
      <c r="G63">
        <v>25.8</v>
      </c>
      <c r="H63">
        <v>71.099999999999994</v>
      </c>
      <c r="J63">
        <f>ROUND(F63,2)</f>
        <v>179.19</v>
      </c>
      <c r="K63">
        <f>SQRT(E63)</f>
        <v>4.658325879540846</v>
      </c>
      <c r="L63" t="str">
        <f>LEFT(A63,3)</f>
        <v>St.</v>
      </c>
      <c r="M63" t="str">
        <f>RIGHT(B63,3)</f>
        <v>ean</v>
      </c>
      <c r="N63">
        <f>RANK(G63,G:G,1)</f>
        <v>115</v>
      </c>
      <c r="O63">
        <f>LEN(A63)</f>
        <v>30</v>
      </c>
    </row>
    <row r="64" spans="1:15" x14ac:dyDescent="0.25">
      <c r="A64" t="s">
        <v>81</v>
      </c>
      <c r="B64" t="s">
        <v>43</v>
      </c>
      <c r="C64">
        <v>2007</v>
      </c>
      <c r="D64">
        <v>43.7</v>
      </c>
      <c r="E64">
        <v>68</v>
      </c>
      <c r="F64">
        <v>345.5865</v>
      </c>
      <c r="G64">
        <v>22.6</v>
      </c>
      <c r="H64">
        <v>57.5</v>
      </c>
      <c r="J64">
        <f>ROUND(F64,2)</f>
        <v>345.59</v>
      </c>
      <c r="K64">
        <f>SQRT(E64)</f>
        <v>8.2462112512353212</v>
      </c>
      <c r="L64" t="str">
        <f>LEFT(A64,3)</f>
        <v>Ken</v>
      </c>
      <c r="M64" t="str">
        <f>RIGHT(B64,3)</f>
        <v>ica</v>
      </c>
      <c r="N64">
        <f>RANK(G64,G:G,1)</f>
        <v>36</v>
      </c>
      <c r="O64">
        <f>LEN(A64)</f>
        <v>5</v>
      </c>
    </row>
    <row r="65" spans="1:15" x14ac:dyDescent="0.25">
      <c r="A65" t="s">
        <v>82</v>
      </c>
      <c r="B65" t="s">
        <v>61</v>
      </c>
      <c r="C65">
        <v>2003</v>
      </c>
      <c r="D65">
        <v>29</v>
      </c>
      <c r="E65">
        <v>35.200000000000003</v>
      </c>
      <c r="F65">
        <v>180.95349999999999</v>
      </c>
      <c r="G65">
        <v>28.9</v>
      </c>
      <c r="H65">
        <v>65.099999999999994</v>
      </c>
      <c r="J65">
        <f>ROUND(F65,2)</f>
        <v>180.95</v>
      </c>
      <c r="K65">
        <f>SQRT(E65)</f>
        <v>5.9329587896765306</v>
      </c>
      <c r="L65" t="str">
        <f>LEFT(A65,3)</f>
        <v>Mic</v>
      </c>
      <c r="M65" t="str">
        <f>RIGHT(B65,3)</f>
        <v>nia</v>
      </c>
      <c r="N65">
        <f>RANK(G65,G:G,1)</f>
        <v>196</v>
      </c>
      <c r="O65">
        <f>LEN(A65)</f>
        <v>21</v>
      </c>
    </row>
    <row r="66" spans="1:15" x14ac:dyDescent="0.25">
      <c r="A66" t="s">
        <v>83</v>
      </c>
      <c r="B66" t="s">
        <v>26</v>
      </c>
      <c r="C66">
        <v>2004</v>
      </c>
      <c r="D66">
        <v>11</v>
      </c>
      <c r="E66">
        <v>13.5</v>
      </c>
      <c r="F66">
        <v>148.5575</v>
      </c>
      <c r="G66">
        <v>25.5</v>
      </c>
      <c r="H66">
        <v>74.8</v>
      </c>
      <c r="J66">
        <f>ROUND(F66,2)</f>
        <v>148.56</v>
      </c>
      <c r="K66">
        <f>SQRT(E66)</f>
        <v>3.6742346141747673</v>
      </c>
      <c r="L66" t="str">
        <f>LEFT(A66,3)</f>
        <v>Ant</v>
      </c>
      <c r="M66" t="str">
        <f>RIGHT(B66,3)</f>
        <v>ean</v>
      </c>
      <c r="N66">
        <f>RANK(G66,G:G,1)</f>
        <v>100</v>
      </c>
      <c r="O66">
        <f>LEN(A66)</f>
        <v>19</v>
      </c>
    </row>
    <row r="67" spans="1:15" x14ac:dyDescent="0.25">
      <c r="A67" t="s">
        <v>84</v>
      </c>
      <c r="B67" t="s">
        <v>19</v>
      </c>
      <c r="C67">
        <v>2007</v>
      </c>
      <c r="D67">
        <v>41.9</v>
      </c>
      <c r="E67">
        <v>53.4</v>
      </c>
      <c r="F67">
        <v>191.53749999999999</v>
      </c>
      <c r="G67">
        <v>21.4</v>
      </c>
      <c r="H67">
        <v>66.3</v>
      </c>
      <c r="J67">
        <f>ROUND(F67,2)</f>
        <v>191.54</v>
      </c>
      <c r="K67">
        <f>SQRT(E67)</f>
        <v>7.3075303625780439</v>
      </c>
      <c r="L67" t="str">
        <f>LEFT(A67,3)</f>
        <v>Nep</v>
      </c>
      <c r="M67" t="str">
        <f>RIGHT(B67,3)</f>
        <v>sia</v>
      </c>
      <c r="N67">
        <f>RANK(G67,G:G,1)</f>
        <v>13</v>
      </c>
      <c r="O67">
        <f>LEN(A67)</f>
        <v>5</v>
      </c>
    </row>
    <row r="68" spans="1:15" x14ac:dyDescent="0.25">
      <c r="A68" t="s">
        <v>85</v>
      </c>
      <c r="B68" t="s">
        <v>17</v>
      </c>
      <c r="C68">
        <v>2005</v>
      </c>
      <c r="D68">
        <v>7.3</v>
      </c>
      <c r="E68">
        <v>9</v>
      </c>
      <c r="F68">
        <v>222.06899999999999</v>
      </c>
      <c r="G68">
        <v>26.2</v>
      </c>
      <c r="H68">
        <v>71.3</v>
      </c>
      <c r="J68">
        <f>ROUND(F68,2)</f>
        <v>222.07</v>
      </c>
      <c r="K68">
        <f>SQRT(E68)</f>
        <v>3</v>
      </c>
      <c r="L68" t="str">
        <f>LEFT(A68,3)</f>
        <v>Lit</v>
      </c>
      <c r="M68" t="str">
        <f>RIGHT(B68,3)</f>
        <v>ion</v>
      </c>
      <c r="N68">
        <f>RANK(G68,G:G,1)</f>
        <v>145</v>
      </c>
      <c r="O68">
        <f>LEN(A68)</f>
        <v>9</v>
      </c>
    </row>
    <row r="69" spans="1:15" x14ac:dyDescent="0.25">
      <c r="A69" t="s">
        <v>86</v>
      </c>
      <c r="B69" t="s">
        <v>61</v>
      </c>
      <c r="C69">
        <v>2003</v>
      </c>
      <c r="D69">
        <v>23.5</v>
      </c>
      <c r="E69">
        <v>28.1</v>
      </c>
      <c r="F69">
        <v>168.71449999999999</v>
      </c>
      <c r="G69">
        <v>25.6</v>
      </c>
      <c r="H69">
        <v>68</v>
      </c>
      <c r="J69">
        <f>ROUND(F69,2)</f>
        <v>168.71</v>
      </c>
      <c r="K69">
        <f>SQRT(E69)</f>
        <v>5.3009433122794292</v>
      </c>
      <c r="L69" t="str">
        <f>LEFT(A69,3)</f>
        <v>Van</v>
      </c>
      <c r="M69" t="str">
        <f>RIGHT(B69,3)</f>
        <v>nia</v>
      </c>
      <c r="N69">
        <f>RANK(G69,G:G,1)</f>
        <v>106</v>
      </c>
      <c r="O69">
        <f>LEN(A69)</f>
        <v>7</v>
      </c>
    </row>
    <row r="70" spans="1:15" x14ac:dyDescent="0.25">
      <c r="A70" t="s">
        <v>87</v>
      </c>
      <c r="B70" t="s">
        <v>19</v>
      </c>
      <c r="C70">
        <v>2000</v>
      </c>
      <c r="D70">
        <v>90.5</v>
      </c>
      <c r="E70">
        <v>129.19999999999999</v>
      </c>
      <c r="F70">
        <v>310.83049999999997</v>
      </c>
      <c r="G70">
        <v>21.7</v>
      </c>
      <c r="H70">
        <v>55.8</v>
      </c>
      <c r="J70">
        <f>ROUND(F70,2)</f>
        <v>310.83</v>
      </c>
      <c r="K70">
        <f>SQRT(E70)</f>
        <v>11.366617790706258</v>
      </c>
      <c r="L70" t="str">
        <f>LEFT(A70,3)</f>
        <v>Afg</v>
      </c>
      <c r="M70" t="str">
        <f>RIGHT(B70,3)</f>
        <v>sia</v>
      </c>
      <c r="N70">
        <f>RANK(G70,G:G,1)</f>
        <v>16</v>
      </c>
      <c r="O70">
        <f>LEN(A70)</f>
        <v>11</v>
      </c>
    </row>
    <row r="71" spans="1:15" x14ac:dyDescent="0.25">
      <c r="A71" t="s">
        <v>88</v>
      </c>
      <c r="B71" t="s">
        <v>15</v>
      </c>
      <c r="C71">
        <v>2011</v>
      </c>
      <c r="D71">
        <v>8.5</v>
      </c>
      <c r="E71">
        <v>10</v>
      </c>
      <c r="F71">
        <v>64.968999999999994</v>
      </c>
      <c r="G71">
        <v>29.1</v>
      </c>
      <c r="H71">
        <v>74.599999999999994</v>
      </c>
      <c r="J71">
        <f>ROUND(F71,2)</f>
        <v>64.97</v>
      </c>
      <c r="K71">
        <f>SQRT(E71)</f>
        <v>3.1622776601683795</v>
      </c>
      <c r="L71" t="str">
        <f>LEFT(A71,3)</f>
        <v>Kuw</v>
      </c>
      <c r="M71" t="str">
        <f>RIGHT(B71,3)</f>
        <v>ast</v>
      </c>
      <c r="N71">
        <f>RANK(G71,G:G,1)</f>
        <v>197</v>
      </c>
      <c r="O71">
        <f>LEN(A71)</f>
        <v>6</v>
      </c>
    </row>
    <row r="72" spans="1:15" x14ac:dyDescent="0.25">
      <c r="A72" t="s">
        <v>81</v>
      </c>
      <c r="B72" t="s">
        <v>43</v>
      </c>
      <c r="C72">
        <v>2011</v>
      </c>
      <c r="D72">
        <v>38.5</v>
      </c>
      <c r="E72">
        <v>55.5</v>
      </c>
      <c r="F72">
        <v>260.375</v>
      </c>
      <c r="G72">
        <v>22.9</v>
      </c>
      <c r="H72">
        <v>61.9</v>
      </c>
      <c r="J72">
        <f>ROUND(F72,2)</f>
        <v>260.38</v>
      </c>
      <c r="K72">
        <f>SQRT(E72)</f>
        <v>7.4498322128756698</v>
      </c>
      <c r="L72" t="str">
        <f>LEFT(A72,3)</f>
        <v>Ken</v>
      </c>
      <c r="M72" t="str">
        <f>RIGHT(B72,3)</f>
        <v>ica</v>
      </c>
      <c r="N72">
        <f>RANK(G72,G:G,1)</f>
        <v>43</v>
      </c>
      <c r="O72">
        <f>LEN(A72)</f>
        <v>5</v>
      </c>
    </row>
    <row r="73" spans="1:15" x14ac:dyDescent="0.25">
      <c r="A73" t="s">
        <v>58</v>
      </c>
      <c r="B73" t="s">
        <v>17</v>
      </c>
      <c r="C73">
        <v>2004</v>
      </c>
      <c r="D73">
        <v>4</v>
      </c>
      <c r="E73">
        <v>4.9000000000000004</v>
      </c>
      <c r="F73">
        <v>86.3185</v>
      </c>
      <c r="G73">
        <v>26</v>
      </c>
      <c r="H73">
        <v>78.7</v>
      </c>
      <c r="J73">
        <f>ROUND(F73,2)</f>
        <v>86.32</v>
      </c>
      <c r="K73">
        <f>SQRT(E73)</f>
        <v>2.2135943621178655</v>
      </c>
      <c r="L73" t="str">
        <f>LEFT(A73,3)</f>
        <v>Ger</v>
      </c>
      <c r="M73" t="str">
        <f>RIGHT(B73,3)</f>
        <v>ion</v>
      </c>
      <c r="N73">
        <f>RANK(G73,G:G,1)</f>
        <v>132</v>
      </c>
      <c r="O73">
        <f>LEN(A73)</f>
        <v>7</v>
      </c>
    </row>
    <row r="74" spans="1:15" x14ac:dyDescent="0.25">
      <c r="A74" t="s">
        <v>89</v>
      </c>
      <c r="B74" t="s">
        <v>21</v>
      </c>
      <c r="C74">
        <v>2014</v>
      </c>
      <c r="D74">
        <v>10.8</v>
      </c>
      <c r="E74">
        <v>12.1</v>
      </c>
      <c r="F74">
        <v>118.53749999999999</v>
      </c>
      <c r="G74">
        <v>27.5</v>
      </c>
      <c r="H74">
        <v>75.900000000000006</v>
      </c>
      <c r="J74">
        <f>ROUND(F74,2)</f>
        <v>118.54</v>
      </c>
      <c r="K74">
        <f>SQRT(E74)</f>
        <v>3.4785054261852171</v>
      </c>
      <c r="L74" t="str">
        <f>LEFT(A74,3)</f>
        <v>Arg</v>
      </c>
      <c r="M74" t="str">
        <f>RIGHT(B74,3)</f>
        <v>ica</v>
      </c>
      <c r="N74">
        <f>RANK(G74,G:G,1)</f>
        <v>180</v>
      </c>
      <c r="O74">
        <f>LEN(A74)</f>
        <v>9</v>
      </c>
    </row>
    <row r="75" spans="1:15" x14ac:dyDescent="0.25">
      <c r="A75" t="s">
        <v>90</v>
      </c>
      <c r="B75" t="s">
        <v>26</v>
      </c>
      <c r="C75">
        <v>2008</v>
      </c>
      <c r="D75">
        <v>18</v>
      </c>
      <c r="E75">
        <v>21.1</v>
      </c>
      <c r="F75">
        <v>124.01600000000001</v>
      </c>
      <c r="G75">
        <v>26.3</v>
      </c>
      <c r="H75">
        <v>76.400000000000006</v>
      </c>
      <c r="J75">
        <f>ROUND(F75,2)</f>
        <v>124.02</v>
      </c>
      <c r="K75">
        <f>SQRT(E75)</f>
        <v>4.5934736311423405</v>
      </c>
      <c r="L75" t="str">
        <f>LEFT(A75,3)</f>
        <v>Pan</v>
      </c>
      <c r="M75" t="str">
        <f>RIGHT(B75,3)</f>
        <v>ean</v>
      </c>
      <c r="N75">
        <f>RANK(G75,G:G,1)</f>
        <v>150</v>
      </c>
      <c r="O75">
        <f>LEN(A75)</f>
        <v>6</v>
      </c>
    </row>
    <row r="76" spans="1:15" x14ac:dyDescent="0.25">
      <c r="A76" t="s">
        <v>91</v>
      </c>
      <c r="B76" t="s">
        <v>15</v>
      </c>
      <c r="C76">
        <v>2015</v>
      </c>
      <c r="D76">
        <v>9.6</v>
      </c>
      <c r="E76">
        <v>11.2</v>
      </c>
      <c r="F76">
        <v>89.1875</v>
      </c>
      <c r="G76">
        <v>26.3</v>
      </c>
      <c r="H76">
        <v>76.900000000000006</v>
      </c>
      <c r="J76">
        <f>ROUND(F76,2)</f>
        <v>89.19</v>
      </c>
      <c r="K76">
        <f>SQRT(E76)</f>
        <v>3.3466401061363023</v>
      </c>
      <c r="L76" t="str">
        <f>LEFT(A76,3)</f>
        <v>Oma</v>
      </c>
      <c r="M76" t="str">
        <f>RIGHT(B76,3)</f>
        <v>ast</v>
      </c>
      <c r="N76">
        <f>RANK(G76,G:G,1)</f>
        <v>150</v>
      </c>
      <c r="O76">
        <f>LEN(A76)</f>
        <v>4</v>
      </c>
    </row>
    <row r="77" spans="1:15" x14ac:dyDescent="0.25">
      <c r="A77" t="s">
        <v>92</v>
      </c>
      <c r="B77" t="s">
        <v>17</v>
      </c>
      <c r="C77">
        <v>2014</v>
      </c>
      <c r="D77">
        <v>3.1</v>
      </c>
      <c r="E77">
        <v>4.0999999999999996</v>
      </c>
      <c r="F77">
        <v>74.890500000000003</v>
      </c>
      <c r="G77">
        <v>25</v>
      </c>
      <c r="H77">
        <v>82.7</v>
      </c>
      <c r="J77">
        <f>ROUND(F77,2)</f>
        <v>74.89</v>
      </c>
      <c r="K77">
        <f>SQRT(E77)</f>
        <v>2.0248456731316584</v>
      </c>
      <c r="L77" t="str">
        <f>LEFT(A77,3)</f>
        <v>Fra</v>
      </c>
      <c r="M77" t="str">
        <f>RIGHT(B77,3)</f>
        <v>ion</v>
      </c>
      <c r="N77">
        <f>RANK(G77,G:G,1)</f>
        <v>85</v>
      </c>
      <c r="O77">
        <f>LEN(A77)</f>
        <v>6</v>
      </c>
    </row>
    <row r="78" spans="1:15" x14ac:dyDescent="0.25">
      <c r="A78" t="s">
        <v>93</v>
      </c>
      <c r="B78" t="s">
        <v>29</v>
      </c>
      <c r="C78">
        <v>2011</v>
      </c>
      <c r="D78">
        <v>6</v>
      </c>
      <c r="E78">
        <v>6.9</v>
      </c>
      <c r="F78">
        <v>101.667</v>
      </c>
      <c r="G78">
        <v>25.4</v>
      </c>
      <c r="H78">
        <v>76.2</v>
      </c>
      <c r="J78">
        <f>ROUND(F78,2)</f>
        <v>101.67</v>
      </c>
      <c r="K78">
        <f>SQRT(E78)</f>
        <v>2.6267851073127395</v>
      </c>
      <c r="L78" t="str">
        <f>LEFT(A78,3)</f>
        <v>Bos</v>
      </c>
      <c r="M78" t="str">
        <f>RIGHT(B78,3)</f>
        <v>ope</v>
      </c>
      <c r="N78">
        <f>RANK(G78,G:G,1)</f>
        <v>97</v>
      </c>
      <c r="O78">
        <f>LEN(A78)</f>
        <v>22</v>
      </c>
    </row>
    <row r="79" spans="1:15" x14ac:dyDescent="0.25">
      <c r="A79" t="s">
        <v>94</v>
      </c>
      <c r="B79" t="s">
        <v>43</v>
      </c>
      <c r="C79">
        <v>2002</v>
      </c>
      <c r="D79">
        <v>68.599999999999994</v>
      </c>
      <c r="E79">
        <v>111.5</v>
      </c>
      <c r="F79">
        <v>227.5</v>
      </c>
      <c r="G79">
        <v>23.9</v>
      </c>
      <c r="H79">
        <v>60.9</v>
      </c>
      <c r="J79">
        <f>ROUND(F79,2)</f>
        <v>227.5</v>
      </c>
      <c r="K79">
        <f>SQRT(E79)</f>
        <v>10.559356040971437</v>
      </c>
      <c r="L79" t="str">
        <f>LEFT(A79,3)</f>
        <v>Mau</v>
      </c>
      <c r="M79" t="str">
        <f>RIGHT(B79,3)</f>
        <v>ica</v>
      </c>
      <c r="N79">
        <f>RANK(G79,G:G,1)</f>
        <v>67</v>
      </c>
      <c r="O79">
        <f>LEN(A79)</f>
        <v>10</v>
      </c>
    </row>
    <row r="80" spans="1:15" x14ac:dyDescent="0.25">
      <c r="A80" t="s">
        <v>95</v>
      </c>
      <c r="B80" t="s">
        <v>43</v>
      </c>
      <c r="C80">
        <v>2008</v>
      </c>
      <c r="D80">
        <v>101.1</v>
      </c>
      <c r="E80">
        <v>166.5</v>
      </c>
      <c r="F80">
        <v>331.40100000000001</v>
      </c>
      <c r="G80">
        <v>22.7</v>
      </c>
      <c r="H80">
        <v>53.3</v>
      </c>
      <c r="J80">
        <f>ROUND(F80,2)</f>
        <v>331.4</v>
      </c>
      <c r="K80">
        <f>SQRT(E80)</f>
        <v>12.90348790056394</v>
      </c>
      <c r="L80" t="str">
        <f>LEFT(A80,3)</f>
        <v>Som</v>
      </c>
      <c r="M80" t="str">
        <f>RIGHT(B80,3)</f>
        <v>ica</v>
      </c>
      <c r="N80">
        <f>RANK(G80,G:G,1)</f>
        <v>41</v>
      </c>
      <c r="O80">
        <f>LEN(A80)</f>
        <v>7</v>
      </c>
    </row>
    <row r="81" spans="1:15" x14ac:dyDescent="0.25">
      <c r="A81" t="s">
        <v>96</v>
      </c>
      <c r="B81" t="s">
        <v>19</v>
      </c>
      <c r="C81">
        <v>2011</v>
      </c>
      <c r="D81">
        <v>30.5</v>
      </c>
      <c r="E81">
        <v>34.9</v>
      </c>
      <c r="F81">
        <v>134.006</v>
      </c>
      <c r="G81">
        <v>26.5</v>
      </c>
      <c r="H81">
        <v>71.2</v>
      </c>
      <c r="J81">
        <f>ROUND(F81,2)</f>
        <v>134.01</v>
      </c>
      <c r="K81">
        <f>SQRT(E81)</f>
        <v>5.9076221950967716</v>
      </c>
      <c r="L81" t="str">
        <f>LEFT(A81,3)</f>
        <v>Aze</v>
      </c>
      <c r="M81" t="str">
        <f>RIGHT(B81,3)</f>
        <v>sia</v>
      </c>
      <c r="N81">
        <f>RANK(G81,G:G,1)</f>
        <v>160</v>
      </c>
      <c r="O81">
        <f>LEN(A81)</f>
        <v>10</v>
      </c>
    </row>
    <row r="82" spans="1:15" x14ac:dyDescent="0.25">
      <c r="A82" t="s">
        <v>97</v>
      </c>
      <c r="B82" t="s">
        <v>19</v>
      </c>
      <c r="C82">
        <v>2007</v>
      </c>
      <c r="D82">
        <v>15.1</v>
      </c>
      <c r="E82">
        <v>17.600000000000001</v>
      </c>
      <c r="F82">
        <v>79.100999999999999</v>
      </c>
      <c r="G82">
        <v>24.1</v>
      </c>
      <c r="H82">
        <v>74.599999999999994</v>
      </c>
      <c r="J82">
        <f>ROUND(F82,2)</f>
        <v>79.099999999999994</v>
      </c>
      <c r="K82">
        <f>SQRT(E82)</f>
        <v>4.1952353926806065</v>
      </c>
      <c r="L82" t="str">
        <f>LEFT(A82,3)</f>
        <v>Mal</v>
      </c>
      <c r="M82" t="str">
        <f>RIGHT(B82,3)</f>
        <v>sia</v>
      </c>
      <c r="N82">
        <f>RANK(G82,G:G,1)</f>
        <v>71</v>
      </c>
      <c r="O82">
        <f>LEN(A82)</f>
        <v>8</v>
      </c>
    </row>
    <row r="83" spans="1:15" x14ac:dyDescent="0.25">
      <c r="A83" t="s">
        <v>79</v>
      </c>
      <c r="B83" t="s">
        <v>29</v>
      </c>
      <c r="C83">
        <v>2012</v>
      </c>
      <c r="D83">
        <v>14.7</v>
      </c>
      <c r="E83">
        <v>16.399999999999999</v>
      </c>
      <c r="F83">
        <v>129.83699999999999</v>
      </c>
      <c r="G83">
        <v>26.1</v>
      </c>
      <c r="H83">
        <v>73.8</v>
      </c>
      <c r="J83">
        <f>ROUND(F83,2)</f>
        <v>129.84</v>
      </c>
      <c r="K83">
        <f>SQRT(E83)</f>
        <v>4.0496913462633168</v>
      </c>
      <c r="L83" t="str">
        <f>LEFT(A83,3)</f>
        <v>Arm</v>
      </c>
      <c r="M83" t="str">
        <f>RIGHT(B83,3)</f>
        <v>ope</v>
      </c>
      <c r="N83">
        <f>RANK(G83,G:G,1)</f>
        <v>139</v>
      </c>
      <c r="O83">
        <f>LEN(A83)</f>
        <v>7</v>
      </c>
    </row>
    <row r="84" spans="1:15" x14ac:dyDescent="0.25">
      <c r="A84" t="s">
        <v>46</v>
      </c>
      <c r="B84" t="s">
        <v>43</v>
      </c>
      <c r="C84">
        <v>2009</v>
      </c>
      <c r="D84">
        <v>48.8</v>
      </c>
      <c r="E84">
        <v>72.3</v>
      </c>
      <c r="F84">
        <v>261.2595</v>
      </c>
      <c r="G84">
        <v>23.5</v>
      </c>
      <c r="H84">
        <v>60.6</v>
      </c>
      <c r="J84">
        <f>ROUND(F84,2)</f>
        <v>261.26</v>
      </c>
      <c r="K84">
        <f>SQRT(E84)</f>
        <v>8.5029406677925259</v>
      </c>
      <c r="L84" t="str">
        <f>LEFT(A84,3)</f>
        <v>Gha</v>
      </c>
      <c r="M84" t="str">
        <f>RIGHT(B84,3)</f>
        <v>ica</v>
      </c>
      <c r="N84">
        <f>RANK(G84,G:G,1)</f>
        <v>58</v>
      </c>
      <c r="O84">
        <f>LEN(A84)</f>
        <v>5</v>
      </c>
    </row>
    <row r="85" spans="1:15" x14ac:dyDescent="0.25">
      <c r="A85" t="s">
        <v>95</v>
      </c>
      <c r="B85" t="s">
        <v>43</v>
      </c>
      <c r="C85">
        <v>2006</v>
      </c>
      <c r="D85">
        <v>104</v>
      </c>
      <c r="E85">
        <v>172</v>
      </c>
      <c r="F85">
        <v>337.33699999999999</v>
      </c>
      <c r="G85">
        <v>22.5</v>
      </c>
      <c r="H85">
        <v>52.7</v>
      </c>
      <c r="J85">
        <f>ROUND(F85,2)</f>
        <v>337.34</v>
      </c>
      <c r="K85">
        <f>SQRT(E85)</f>
        <v>13.114877048604001</v>
      </c>
      <c r="L85" t="str">
        <f>LEFT(A85,3)</f>
        <v>Som</v>
      </c>
      <c r="M85" t="str">
        <f>RIGHT(B85,3)</f>
        <v>ica</v>
      </c>
      <c r="N85">
        <f>RANK(G85,G:G,1)</f>
        <v>33</v>
      </c>
      <c r="O85">
        <f>LEN(A85)</f>
        <v>7</v>
      </c>
    </row>
    <row r="86" spans="1:15" x14ac:dyDescent="0.25">
      <c r="A86" t="s">
        <v>39</v>
      </c>
      <c r="B86" t="s">
        <v>29</v>
      </c>
      <c r="C86">
        <v>2014</v>
      </c>
      <c r="D86">
        <v>3.8</v>
      </c>
      <c r="E86">
        <v>4.3</v>
      </c>
      <c r="F86">
        <v>49.997999999999998</v>
      </c>
      <c r="G86">
        <v>25.1</v>
      </c>
      <c r="H86">
        <v>83.2</v>
      </c>
      <c r="J86">
        <f>ROUND(F86,2)</f>
        <v>50</v>
      </c>
      <c r="K86">
        <f>SQRT(E86)</f>
        <v>2.0736441353327719</v>
      </c>
      <c r="L86" t="str">
        <f>LEFT(A86,3)</f>
        <v>Swi</v>
      </c>
      <c r="M86" t="str">
        <f>RIGHT(B86,3)</f>
        <v>ope</v>
      </c>
      <c r="N86">
        <f>RANK(G86,G:G,1)</f>
        <v>89</v>
      </c>
      <c r="O86">
        <f>LEN(A86)</f>
        <v>11</v>
      </c>
    </row>
    <row r="87" spans="1:15" x14ac:dyDescent="0.25">
      <c r="A87" t="s">
        <v>89</v>
      </c>
      <c r="B87" t="s">
        <v>21</v>
      </c>
      <c r="C87">
        <v>2005</v>
      </c>
      <c r="D87">
        <v>14.8</v>
      </c>
      <c r="E87">
        <v>16.5</v>
      </c>
      <c r="F87">
        <v>131.47499999999999</v>
      </c>
      <c r="G87">
        <v>26.6</v>
      </c>
      <c r="H87">
        <v>74.5</v>
      </c>
      <c r="J87">
        <f>ROUND(F87,2)</f>
        <v>131.47999999999999</v>
      </c>
      <c r="K87">
        <f>SQRT(E87)</f>
        <v>4.0620192023179804</v>
      </c>
      <c r="L87" t="str">
        <f>LEFT(A87,3)</f>
        <v>Arg</v>
      </c>
      <c r="M87" t="str">
        <f>RIGHT(B87,3)</f>
        <v>ica</v>
      </c>
      <c r="N87">
        <f>RANK(G87,G:G,1)</f>
        <v>165</v>
      </c>
      <c r="O87">
        <f>LEN(A87)</f>
        <v>9</v>
      </c>
    </row>
    <row r="88" spans="1:15" x14ac:dyDescent="0.25">
      <c r="A88" t="s">
        <v>98</v>
      </c>
      <c r="B88" t="s">
        <v>43</v>
      </c>
      <c r="C88">
        <v>2010</v>
      </c>
      <c r="D88">
        <v>72.599999999999994</v>
      </c>
      <c r="E88">
        <v>114.5</v>
      </c>
      <c r="F88">
        <v>287.62</v>
      </c>
      <c r="G88">
        <v>23</v>
      </c>
      <c r="H88">
        <v>54.6</v>
      </c>
      <c r="J88">
        <f>ROUND(F88,2)</f>
        <v>287.62</v>
      </c>
      <c r="K88">
        <f>SQRT(E88)</f>
        <v>10.700467279516348</v>
      </c>
      <c r="L88" t="str">
        <f>LEFT(A88,3)</f>
        <v>Gui</v>
      </c>
      <c r="M88" t="str">
        <f>RIGHT(B88,3)</f>
        <v>ica</v>
      </c>
      <c r="N88">
        <f>RANK(G88,G:G,1)</f>
        <v>46</v>
      </c>
      <c r="O88">
        <f>LEN(A88)</f>
        <v>13</v>
      </c>
    </row>
    <row r="89" spans="1:15" x14ac:dyDescent="0.25">
      <c r="A89" t="s">
        <v>99</v>
      </c>
      <c r="B89" t="s">
        <v>61</v>
      </c>
      <c r="C89">
        <v>2000</v>
      </c>
      <c r="D89">
        <v>25.6</v>
      </c>
      <c r="E89">
        <v>30.7</v>
      </c>
      <c r="F89">
        <v>228.16900000000001</v>
      </c>
      <c r="G89">
        <v>24.9</v>
      </c>
      <c r="H89">
        <v>67.400000000000006</v>
      </c>
      <c r="J89">
        <f>ROUND(F89,2)</f>
        <v>228.17</v>
      </c>
      <c r="K89">
        <f>SQRT(E89)</f>
        <v>5.5407580708780273</v>
      </c>
      <c r="L89" t="str">
        <f>LEFT(A89,3)</f>
        <v>Sol</v>
      </c>
      <c r="M89" t="str">
        <f>RIGHT(B89,3)</f>
        <v>nia</v>
      </c>
      <c r="N89">
        <f>RANK(G89,G:G,1)</f>
        <v>82</v>
      </c>
      <c r="O89">
        <f>LEN(A89)</f>
        <v>15</v>
      </c>
    </row>
    <row r="90" spans="1:15" x14ac:dyDescent="0.25">
      <c r="A90" t="s">
        <v>100</v>
      </c>
      <c r="B90" t="s">
        <v>43</v>
      </c>
      <c r="C90">
        <v>2000</v>
      </c>
      <c r="D90">
        <v>106.5</v>
      </c>
      <c r="E90">
        <v>159.30000000000001</v>
      </c>
      <c r="F90">
        <v>344.25200000000001</v>
      </c>
      <c r="G90">
        <v>20.7</v>
      </c>
      <c r="H90">
        <v>50</v>
      </c>
      <c r="J90">
        <f>ROUND(F90,2)</f>
        <v>344.25</v>
      </c>
      <c r="K90">
        <f>SQRT(E90)</f>
        <v>12.621410380777577</v>
      </c>
      <c r="L90" t="str">
        <f>LEFT(A90,3)</f>
        <v>Con</v>
      </c>
      <c r="M90" t="str">
        <f>RIGHT(B90,3)</f>
        <v>ica</v>
      </c>
      <c r="N90">
        <f>RANK(G90,G:G,1)</f>
        <v>2</v>
      </c>
      <c r="O90">
        <f>LEN(A90)</f>
        <v>16</v>
      </c>
    </row>
    <row r="91" spans="1:15" x14ac:dyDescent="0.25">
      <c r="A91" t="s">
        <v>101</v>
      </c>
      <c r="B91" t="s">
        <v>43</v>
      </c>
      <c r="C91">
        <v>2010</v>
      </c>
      <c r="D91">
        <v>36.799999999999997</v>
      </c>
      <c r="E91">
        <v>49.1</v>
      </c>
      <c r="F91">
        <v>412.4735</v>
      </c>
      <c r="G91">
        <v>23.8</v>
      </c>
      <c r="H91">
        <v>56.7</v>
      </c>
      <c r="J91">
        <f>ROUND(F91,2)</f>
        <v>412.47</v>
      </c>
      <c r="K91">
        <f>SQRT(E91)</f>
        <v>7.0071392165419404</v>
      </c>
      <c r="L91" t="str">
        <f>LEFT(A91,3)</f>
        <v>Nam</v>
      </c>
      <c r="M91" t="str">
        <f>RIGHT(B91,3)</f>
        <v>ica</v>
      </c>
      <c r="N91">
        <f>RANK(G91,G:G,1)</f>
        <v>65</v>
      </c>
      <c r="O91">
        <f>LEN(A91)</f>
        <v>7</v>
      </c>
    </row>
    <row r="92" spans="1:15" x14ac:dyDescent="0.25">
      <c r="A92" t="s">
        <v>28</v>
      </c>
      <c r="B92" t="s">
        <v>29</v>
      </c>
      <c r="C92">
        <v>2004</v>
      </c>
      <c r="D92">
        <v>12</v>
      </c>
      <c r="E92">
        <v>14.9</v>
      </c>
      <c r="F92">
        <v>317.96699999999998</v>
      </c>
      <c r="G92">
        <v>25.9</v>
      </c>
      <c r="H92">
        <v>65.5</v>
      </c>
      <c r="J92">
        <f>ROUND(F92,2)</f>
        <v>317.97000000000003</v>
      </c>
      <c r="K92">
        <f>SQRT(E92)</f>
        <v>3.8600518131237567</v>
      </c>
      <c r="L92" t="str">
        <f>LEFT(A92,3)</f>
        <v>Rus</v>
      </c>
      <c r="M92" t="str">
        <f>RIGHT(B92,3)</f>
        <v>ope</v>
      </c>
      <c r="N92">
        <f>RANK(G92,G:G,1)</f>
        <v>126</v>
      </c>
      <c r="O92">
        <f>LEN(A92)</f>
        <v>18</v>
      </c>
    </row>
    <row r="93" spans="1:15" x14ac:dyDescent="0.25">
      <c r="A93" t="s">
        <v>44</v>
      </c>
      <c r="B93" t="s">
        <v>19</v>
      </c>
      <c r="C93">
        <v>2003</v>
      </c>
      <c r="D93">
        <v>2.9</v>
      </c>
      <c r="E93">
        <v>4</v>
      </c>
      <c r="F93">
        <v>70.305999999999997</v>
      </c>
      <c r="G93">
        <v>22.5</v>
      </c>
      <c r="H93">
        <v>81.8</v>
      </c>
      <c r="J93">
        <f>ROUND(F93,2)</f>
        <v>70.31</v>
      </c>
      <c r="K93">
        <f>SQRT(E93)</f>
        <v>2</v>
      </c>
      <c r="L93" t="str">
        <f>LEFT(A93,3)</f>
        <v>Jap</v>
      </c>
      <c r="M93" t="str">
        <f>RIGHT(B93,3)</f>
        <v>sia</v>
      </c>
      <c r="N93">
        <f>RANK(G93,G:G,1)</f>
        <v>33</v>
      </c>
      <c r="O93">
        <f>LEN(A93)</f>
        <v>5</v>
      </c>
    </row>
    <row r="94" spans="1:15" x14ac:dyDescent="0.25">
      <c r="A94" t="s">
        <v>94</v>
      </c>
      <c r="B94" t="s">
        <v>43</v>
      </c>
      <c r="C94">
        <v>2004</v>
      </c>
      <c r="D94">
        <v>67.8</v>
      </c>
      <c r="E94">
        <v>109.7</v>
      </c>
      <c r="F94">
        <v>223.7</v>
      </c>
      <c r="G94">
        <v>24.1</v>
      </c>
      <c r="H94">
        <v>61.2</v>
      </c>
      <c r="J94">
        <f>ROUND(F94,2)</f>
        <v>223.7</v>
      </c>
      <c r="K94">
        <f>SQRT(E94)</f>
        <v>10.47377677822093</v>
      </c>
      <c r="L94" t="str">
        <f>LEFT(A94,3)</f>
        <v>Mau</v>
      </c>
      <c r="M94" t="str">
        <f>RIGHT(B94,3)</f>
        <v>ica</v>
      </c>
      <c r="N94">
        <f>RANK(G94,G:G,1)</f>
        <v>71</v>
      </c>
      <c r="O94">
        <f>LEN(A94)</f>
        <v>10</v>
      </c>
    </row>
    <row r="95" spans="1:15" x14ac:dyDescent="0.25">
      <c r="A95" t="s">
        <v>102</v>
      </c>
      <c r="B95" t="s">
        <v>43</v>
      </c>
      <c r="C95">
        <v>2007</v>
      </c>
      <c r="D95">
        <v>59.3</v>
      </c>
      <c r="E95">
        <v>103.8</v>
      </c>
      <c r="F95">
        <v>579.80100000000004</v>
      </c>
      <c r="G95">
        <v>26.1</v>
      </c>
      <c r="H95">
        <v>43.3</v>
      </c>
      <c r="J95">
        <f>ROUND(F95,2)</f>
        <v>579.79999999999995</v>
      </c>
      <c r="K95">
        <f>SQRT(E95)</f>
        <v>10.188228501560022</v>
      </c>
      <c r="L95" t="str">
        <f>LEFT(A95,3)</f>
        <v>Esw</v>
      </c>
      <c r="M95" t="str">
        <f>RIGHT(B95,3)</f>
        <v>ica</v>
      </c>
      <c r="N95">
        <f>RANK(G95,G:G,1)</f>
        <v>139</v>
      </c>
      <c r="O95">
        <f>LEN(A95)</f>
        <v>8</v>
      </c>
    </row>
    <row r="96" spans="1:15" x14ac:dyDescent="0.25">
      <c r="A96" t="s">
        <v>103</v>
      </c>
      <c r="B96" t="s">
        <v>43</v>
      </c>
      <c r="C96">
        <v>2011</v>
      </c>
      <c r="D96">
        <v>83</v>
      </c>
      <c r="E96">
        <v>133.1</v>
      </c>
      <c r="F96">
        <v>372.38299999999998</v>
      </c>
      <c r="G96">
        <v>23</v>
      </c>
      <c r="H96">
        <v>51.3</v>
      </c>
      <c r="J96">
        <f>ROUND(F96,2)</f>
        <v>372.38</v>
      </c>
      <c r="K96">
        <f>SQRT(E96)</f>
        <v>11.536897329871667</v>
      </c>
      <c r="L96" t="str">
        <f>LEFT(A96,3)</f>
        <v>Nig</v>
      </c>
      <c r="M96" t="str">
        <f>RIGHT(B96,3)</f>
        <v>ica</v>
      </c>
      <c r="N96">
        <f>RANK(G96,G:G,1)</f>
        <v>46</v>
      </c>
      <c r="O96">
        <f>LEN(A96)</f>
        <v>7</v>
      </c>
    </row>
    <row r="97" spans="1:15" x14ac:dyDescent="0.25">
      <c r="A97" t="s">
        <v>104</v>
      </c>
      <c r="B97" t="s">
        <v>15</v>
      </c>
      <c r="C97">
        <v>2002</v>
      </c>
      <c r="D97">
        <v>9.1</v>
      </c>
      <c r="E97">
        <v>10.6</v>
      </c>
      <c r="F97">
        <v>92.432000000000002</v>
      </c>
      <c r="G97">
        <v>27.3</v>
      </c>
      <c r="H97">
        <v>74.8</v>
      </c>
      <c r="J97">
        <f>ROUND(F97,2)</f>
        <v>92.43</v>
      </c>
      <c r="K97">
        <f>SQRT(E97)</f>
        <v>3.2557641192199411</v>
      </c>
      <c r="L97" t="str">
        <f>LEFT(A97,3)</f>
        <v>Uni</v>
      </c>
      <c r="M97" t="str">
        <f>RIGHT(B97,3)</f>
        <v>ast</v>
      </c>
      <c r="N97">
        <f>RANK(G97,G:G,1)</f>
        <v>178</v>
      </c>
      <c r="O97">
        <f>LEN(A97)</f>
        <v>20</v>
      </c>
    </row>
    <row r="98" spans="1:15" x14ac:dyDescent="0.25">
      <c r="A98" t="s">
        <v>105</v>
      </c>
      <c r="B98" t="s">
        <v>43</v>
      </c>
      <c r="C98">
        <v>2005</v>
      </c>
      <c r="D98">
        <v>78.400000000000006</v>
      </c>
      <c r="E98">
        <v>124.9</v>
      </c>
      <c r="F98">
        <v>346.66950000000003</v>
      </c>
      <c r="G98">
        <v>21</v>
      </c>
      <c r="H98">
        <v>53.4</v>
      </c>
      <c r="J98">
        <f>ROUND(F98,2)</f>
        <v>346.67</v>
      </c>
      <c r="K98">
        <f>SQRT(E98)</f>
        <v>11.175866856758809</v>
      </c>
      <c r="L98" t="str">
        <f>LEFT(A98,3)</f>
        <v>Bur</v>
      </c>
      <c r="M98" t="str">
        <f>RIGHT(B98,3)</f>
        <v>ica</v>
      </c>
      <c r="N98">
        <f>RANK(G98,G:G,1)</f>
        <v>4</v>
      </c>
      <c r="O98">
        <f>LEN(A98)</f>
        <v>7</v>
      </c>
    </row>
    <row r="99" spans="1:15" x14ac:dyDescent="0.25">
      <c r="A99" t="s">
        <v>106</v>
      </c>
      <c r="B99" t="s">
        <v>19</v>
      </c>
      <c r="C99">
        <v>2006</v>
      </c>
      <c r="D99">
        <v>44.1</v>
      </c>
      <c r="E99">
        <v>51.9</v>
      </c>
      <c r="F99">
        <v>155.06200000000001</v>
      </c>
      <c r="G99">
        <v>24.7</v>
      </c>
      <c r="H99">
        <v>66.8</v>
      </c>
      <c r="J99">
        <f>ROUND(F99,2)</f>
        <v>155.06</v>
      </c>
      <c r="K99">
        <f>SQRT(E99)</f>
        <v>7.2041654617311499</v>
      </c>
      <c r="L99" t="str">
        <f>LEFT(A99,3)</f>
        <v>Taj</v>
      </c>
      <c r="M99" t="str">
        <f>RIGHT(B99,3)</f>
        <v>sia</v>
      </c>
      <c r="N99">
        <f>RANK(G99,G:G,1)</f>
        <v>78</v>
      </c>
      <c r="O99">
        <f>LEN(A99)</f>
        <v>10</v>
      </c>
    </row>
    <row r="100" spans="1:15" x14ac:dyDescent="0.25">
      <c r="A100" t="s">
        <v>107</v>
      </c>
      <c r="B100" t="s">
        <v>26</v>
      </c>
      <c r="C100">
        <v>2000</v>
      </c>
      <c r="D100">
        <v>30.3</v>
      </c>
      <c r="E100">
        <v>37</v>
      </c>
      <c r="F100">
        <v>171.70599999999999</v>
      </c>
      <c r="G100">
        <v>24.8</v>
      </c>
      <c r="H100">
        <v>70.7</v>
      </c>
      <c r="J100">
        <f>ROUND(F100,2)</f>
        <v>171.71</v>
      </c>
      <c r="K100">
        <f>SQRT(E100)</f>
        <v>6.0827625302982193</v>
      </c>
      <c r="L100" t="str">
        <f>LEFT(A100,3)</f>
        <v>Hon</v>
      </c>
      <c r="M100" t="str">
        <f>RIGHT(B100,3)</f>
        <v>ean</v>
      </c>
      <c r="N100">
        <f>RANK(G100,G:G,1)</f>
        <v>80</v>
      </c>
      <c r="O100">
        <f>LEN(A100)</f>
        <v>8</v>
      </c>
    </row>
    <row r="101" spans="1:15" x14ac:dyDescent="0.25">
      <c r="A101" t="s">
        <v>108</v>
      </c>
      <c r="B101" t="s">
        <v>21</v>
      </c>
      <c r="C101">
        <v>2008</v>
      </c>
      <c r="D101">
        <v>16.7</v>
      </c>
      <c r="E101">
        <v>19.5</v>
      </c>
      <c r="F101">
        <v>151.14949999999999</v>
      </c>
      <c r="G101">
        <v>25.5</v>
      </c>
      <c r="H101">
        <v>75</v>
      </c>
      <c r="J101">
        <f>ROUND(F101,2)</f>
        <v>151.15</v>
      </c>
      <c r="K101">
        <f>SQRT(E101)</f>
        <v>4.4158804331639239</v>
      </c>
      <c r="L101" t="str">
        <f>LEFT(A101,3)</f>
        <v>Col</v>
      </c>
      <c r="M101" t="str">
        <f>RIGHT(B101,3)</f>
        <v>ica</v>
      </c>
      <c r="N101">
        <f>RANK(G101,G:G,1)</f>
        <v>100</v>
      </c>
      <c r="O101">
        <f>LEN(A101)</f>
        <v>8</v>
      </c>
    </row>
    <row r="102" spans="1:15" x14ac:dyDescent="0.25">
      <c r="A102" t="s">
        <v>66</v>
      </c>
      <c r="B102" t="s">
        <v>43</v>
      </c>
      <c r="C102">
        <v>2009</v>
      </c>
      <c r="D102">
        <v>47.1</v>
      </c>
      <c r="E102">
        <v>76.8</v>
      </c>
      <c r="F102">
        <v>277.44749999999999</v>
      </c>
      <c r="G102">
        <v>23.3</v>
      </c>
      <c r="H102">
        <v>59.3</v>
      </c>
      <c r="J102">
        <f>ROUND(F102,2)</f>
        <v>277.45</v>
      </c>
      <c r="K102">
        <f>SQRT(E102)</f>
        <v>8.7635609200826572</v>
      </c>
      <c r="L102" t="str">
        <f>LEFT(A102,3)</f>
        <v>Gam</v>
      </c>
      <c r="M102" t="str">
        <f>RIGHT(B102,3)</f>
        <v>ica</v>
      </c>
      <c r="N102">
        <f>RANK(G102,G:G,1)</f>
        <v>51</v>
      </c>
      <c r="O102">
        <f>LEN(A102)</f>
        <v>11</v>
      </c>
    </row>
    <row r="103" spans="1:15" x14ac:dyDescent="0.25">
      <c r="A103" t="s">
        <v>49</v>
      </c>
      <c r="B103" t="s">
        <v>43</v>
      </c>
      <c r="C103">
        <v>2015</v>
      </c>
      <c r="D103">
        <v>41.3</v>
      </c>
      <c r="E103">
        <v>59</v>
      </c>
      <c r="F103">
        <v>218.45750000000001</v>
      </c>
      <c r="G103">
        <v>21.3</v>
      </c>
      <c r="H103">
        <v>65.5</v>
      </c>
      <c r="J103">
        <f>ROUND(F103,2)</f>
        <v>218.46</v>
      </c>
      <c r="K103">
        <f>SQRT(E103)</f>
        <v>7.6811457478686078</v>
      </c>
      <c r="L103" t="str">
        <f>LEFT(A103,3)</f>
        <v>Mad</v>
      </c>
      <c r="M103" t="str">
        <f>RIGHT(B103,3)</f>
        <v>ica</v>
      </c>
      <c r="N103">
        <f>RANK(G103,G:G,1)</f>
        <v>11</v>
      </c>
      <c r="O103">
        <f>LEN(A103)</f>
        <v>10</v>
      </c>
    </row>
    <row r="104" spans="1:15" x14ac:dyDescent="0.25">
      <c r="A104" t="s">
        <v>109</v>
      </c>
      <c r="B104" t="s">
        <v>29</v>
      </c>
      <c r="C104">
        <v>2003</v>
      </c>
      <c r="D104">
        <v>2.8</v>
      </c>
      <c r="E104">
        <v>3.5</v>
      </c>
      <c r="F104">
        <v>58.786999999999999</v>
      </c>
      <c r="G104">
        <v>25.7</v>
      </c>
      <c r="H104">
        <v>81</v>
      </c>
      <c r="J104">
        <f>ROUND(F104,2)</f>
        <v>58.79</v>
      </c>
      <c r="K104">
        <f>SQRT(E104)</f>
        <v>1.8708286933869707</v>
      </c>
      <c r="L104" t="str">
        <f>LEFT(A104,3)</f>
        <v>Ice</v>
      </c>
      <c r="M104" t="str">
        <f>RIGHT(B104,3)</f>
        <v>ope</v>
      </c>
      <c r="N104">
        <f>RANK(G104,G:G,1)</f>
        <v>111</v>
      </c>
      <c r="O104">
        <f>LEN(A104)</f>
        <v>7</v>
      </c>
    </row>
    <row r="105" spans="1:15" x14ac:dyDescent="0.25">
      <c r="A105" t="s">
        <v>110</v>
      </c>
      <c r="B105" t="s">
        <v>43</v>
      </c>
      <c r="C105">
        <v>2002</v>
      </c>
      <c r="D105">
        <v>40.6</v>
      </c>
      <c r="E105">
        <v>48</v>
      </c>
      <c r="F105">
        <v>140.53749999999999</v>
      </c>
      <c r="G105">
        <v>24.8</v>
      </c>
      <c r="H105">
        <v>69.8</v>
      </c>
      <c r="J105">
        <f>ROUND(F105,2)</f>
        <v>140.54</v>
      </c>
      <c r="K105">
        <f>SQRT(E105)</f>
        <v>6.9282032302755088</v>
      </c>
      <c r="L105" t="str">
        <f>LEFT(A105,3)</f>
        <v>Mor</v>
      </c>
      <c r="M105" t="str">
        <f>RIGHT(B105,3)</f>
        <v>ica</v>
      </c>
      <c r="N105">
        <f>RANK(G105,G:G,1)</f>
        <v>80</v>
      </c>
      <c r="O105">
        <f>LEN(A105)</f>
        <v>7</v>
      </c>
    </row>
    <row r="106" spans="1:15" x14ac:dyDescent="0.25">
      <c r="A106" t="s">
        <v>111</v>
      </c>
      <c r="B106" t="s">
        <v>19</v>
      </c>
      <c r="C106">
        <v>2011</v>
      </c>
      <c r="D106">
        <v>68.599999999999994</v>
      </c>
      <c r="E106">
        <v>85</v>
      </c>
      <c r="F106">
        <v>166.20400000000001</v>
      </c>
      <c r="G106">
        <v>23.5</v>
      </c>
      <c r="H106">
        <v>65.599999999999994</v>
      </c>
      <c r="J106">
        <f>ROUND(F106,2)</f>
        <v>166.2</v>
      </c>
      <c r="K106">
        <f>SQRT(E106)</f>
        <v>9.2195444572928871</v>
      </c>
      <c r="L106" t="str">
        <f>LEFT(A106,3)</f>
        <v>Pak</v>
      </c>
      <c r="M106" t="str">
        <f>RIGHT(B106,3)</f>
        <v>sia</v>
      </c>
      <c r="N106">
        <f>RANK(G106,G:G,1)</f>
        <v>58</v>
      </c>
      <c r="O106">
        <f>LEN(A106)</f>
        <v>8</v>
      </c>
    </row>
    <row r="107" spans="1:15" x14ac:dyDescent="0.25">
      <c r="A107" t="s">
        <v>112</v>
      </c>
      <c r="B107" t="s">
        <v>21</v>
      </c>
      <c r="C107">
        <v>2009</v>
      </c>
      <c r="D107">
        <v>34.799999999999997</v>
      </c>
      <c r="E107">
        <v>44.1</v>
      </c>
      <c r="F107">
        <v>204.43049999999999</v>
      </c>
      <c r="G107">
        <v>25.7</v>
      </c>
      <c r="H107">
        <v>67.5</v>
      </c>
      <c r="J107">
        <f>ROUND(F107,2)</f>
        <v>204.43</v>
      </c>
      <c r="K107">
        <f>SQRT(E107)</f>
        <v>6.640783086353597</v>
      </c>
      <c r="L107" t="str">
        <f>LEFT(A107,3)</f>
        <v>Bol</v>
      </c>
      <c r="M107" t="str">
        <f>RIGHT(B107,3)</f>
        <v>ica</v>
      </c>
      <c r="N107">
        <f>RANK(G107,G:G,1)</f>
        <v>111</v>
      </c>
      <c r="O107">
        <f>LEN(A107)</f>
        <v>7</v>
      </c>
    </row>
    <row r="108" spans="1:15" x14ac:dyDescent="0.25">
      <c r="A108" t="s">
        <v>113</v>
      </c>
      <c r="B108" t="s">
        <v>19</v>
      </c>
      <c r="C108">
        <v>2006</v>
      </c>
      <c r="D108">
        <v>49.3</v>
      </c>
      <c r="E108">
        <v>59.7</v>
      </c>
      <c r="F108">
        <v>214.084</v>
      </c>
      <c r="G108">
        <v>21.2</v>
      </c>
      <c r="H108">
        <v>63.9</v>
      </c>
      <c r="J108">
        <f>ROUND(F108,2)</f>
        <v>214.08</v>
      </c>
      <c r="K108">
        <f>SQRT(E108)</f>
        <v>7.7265775088327437</v>
      </c>
      <c r="L108" t="str">
        <f>LEFT(A108,3)</f>
        <v>Cam</v>
      </c>
      <c r="M108" t="str">
        <f>RIGHT(B108,3)</f>
        <v>sia</v>
      </c>
      <c r="N108">
        <f>RANK(G108,G:G,1)</f>
        <v>8</v>
      </c>
      <c r="O108">
        <f>LEN(A108)</f>
        <v>8</v>
      </c>
    </row>
    <row r="109" spans="1:15" x14ac:dyDescent="0.25">
      <c r="A109" t="s">
        <v>114</v>
      </c>
      <c r="B109" t="s">
        <v>19</v>
      </c>
      <c r="C109">
        <v>2006</v>
      </c>
      <c r="D109">
        <v>7</v>
      </c>
      <c r="E109">
        <v>8.1</v>
      </c>
      <c r="F109">
        <v>129.376</v>
      </c>
      <c r="G109">
        <v>24.6</v>
      </c>
      <c r="H109">
        <v>73.7</v>
      </c>
      <c r="J109">
        <f>ROUND(F109,2)</f>
        <v>129.38</v>
      </c>
      <c r="K109">
        <f>SQRT(E109)</f>
        <v>2.8460498941515415</v>
      </c>
      <c r="L109" t="str">
        <f>LEFT(A109,3)</f>
        <v>Mal</v>
      </c>
      <c r="M109" t="str">
        <f>RIGHT(B109,3)</f>
        <v>sia</v>
      </c>
      <c r="N109">
        <f>RANK(G109,G:G,1)</f>
        <v>76</v>
      </c>
      <c r="O109">
        <f>LEN(A109)</f>
        <v>8</v>
      </c>
    </row>
    <row r="110" spans="1:15" x14ac:dyDescent="0.25">
      <c r="A110" t="s">
        <v>75</v>
      </c>
      <c r="B110" t="s">
        <v>17</v>
      </c>
      <c r="C110">
        <v>2006</v>
      </c>
      <c r="D110">
        <v>14.2</v>
      </c>
      <c r="E110">
        <v>16.600000000000001</v>
      </c>
      <c r="F110">
        <v>159.09549999999999</v>
      </c>
      <c r="G110">
        <v>25.5</v>
      </c>
      <c r="H110">
        <v>72.2</v>
      </c>
      <c r="J110">
        <f>ROUND(F110,2)</f>
        <v>159.1</v>
      </c>
      <c r="K110">
        <f>SQRT(E110)</f>
        <v>4.0743097574926725</v>
      </c>
      <c r="L110" t="str">
        <f>LEFT(A110,3)</f>
        <v>Rom</v>
      </c>
      <c r="M110" t="str">
        <f>RIGHT(B110,3)</f>
        <v>ion</v>
      </c>
      <c r="N110">
        <f>RANK(G110,G:G,1)</f>
        <v>100</v>
      </c>
      <c r="O110">
        <f>LEN(A110)</f>
        <v>7</v>
      </c>
    </row>
    <row r="111" spans="1:15" x14ac:dyDescent="0.25">
      <c r="A111" t="s">
        <v>115</v>
      </c>
      <c r="B111" t="s">
        <v>26</v>
      </c>
      <c r="C111">
        <v>2008</v>
      </c>
      <c r="D111">
        <v>29.1</v>
      </c>
      <c r="E111">
        <v>35.5</v>
      </c>
      <c r="F111">
        <v>173.04849999999999</v>
      </c>
      <c r="G111">
        <v>25.7</v>
      </c>
      <c r="H111">
        <v>71.599999999999994</v>
      </c>
      <c r="J111">
        <f>ROUND(F111,2)</f>
        <v>173.05</v>
      </c>
      <c r="K111">
        <f>SQRT(E111)</f>
        <v>5.9581876439064922</v>
      </c>
      <c r="L111" t="str">
        <f>LEFT(A111,3)</f>
        <v>Dom</v>
      </c>
      <c r="M111" t="str">
        <f>RIGHT(B111,3)</f>
        <v>ean</v>
      </c>
      <c r="N111">
        <f>RANK(G111,G:G,1)</f>
        <v>111</v>
      </c>
      <c r="O111">
        <f>LEN(A111)</f>
        <v>18</v>
      </c>
    </row>
    <row r="112" spans="1:15" x14ac:dyDescent="0.25">
      <c r="A112" t="s">
        <v>40</v>
      </c>
      <c r="B112" t="s">
        <v>29</v>
      </c>
      <c r="C112">
        <v>2015</v>
      </c>
      <c r="D112">
        <v>2.2000000000000002</v>
      </c>
      <c r="E112">
        <v>2.7</v>
      </c>
      <c r="F112">
        <v>53.896999999999998</v>
      </c>
      <c r="G112">
        <v>26.6</v>
      </c>
      <c r="H112">
        <v>82.3</v>
      </c>
      <c r="J112">
        <f>ROUND(F112,2)</f>
        <v>53.9</v>
      </c>
      <c r="K112">
        <f>SQRT(E112)</f>
        <v>1.6431676725154984</v>
      </c>
      <c r="L112" t="str">
        <f>LEFT(A112,3)</f>
        <v>Nor</v>
      </c>
      <c r="M112" t="str">
        <f>RIGHT(B112,3)</f>
        <v>ope</v>
      </c>
      <c r="N112">
        <f>RANK(G112,G:G,1)</f>
        <v>165</v>
      </c>
      <c r="O112">
        <f>LEN(A112)</f>
        <v>6</v>
      </c>
    </row>
    <row r="113" spans="1:15" x14ac:dyDescent="0.25">
      <c r="A113" t="s">
        <v>116</v>
      </c>
      <c r="B113" t="s">
        <v>17</v>
      </c>
      <c r="C113">
        <v>2005</v>
      </c>
      <c r="D113">
        <v>3.8</v>
      </c>
      <c r="E113">
        <v>4.5</v>
      </c>
      <c r="F113">
        <v>64.291499999999999</v>
      </c>
      <c r="G113">
        <v>25.6</v>
      </c>
      <c r="H113">
        <v>80.8</v>
      </c>
      <c r="J113">
        <f>ROUND(F113,2)</f>
        <v>64.290000000000006</v>
      </c>
      <c r="K113">
        <f>SQRT(E113)</f>
        <v>2.1213203435596424</v>
      </c>
      <c r="L113" t="str">
        <f>LEFT(A113,3)</f>
        <v>Ita</v>
      </c>
      <c r="M113" t="str">
        <f>RIGHT(B113,3)</f>
        <v>ion</v>
      </c>
      <c r="N113">
        <f>RANK(G113,G:G,1)</f>
        <v>106</v>
      </c>
      <c r="O113">
        <f>LEN(A113)</f>
        <v>5</v>
      </c>
    </row>
    <row r="114" spans="1:15" x14ac:dyDescent="0.25">
      <c r="A114" t="s">
        <v>117</v>
      </c>
      <c r="B114" t="s">
        <v>19</v>
      </c>
      <c r="C114">
        <v>2015</v>
      </c>
      <c r="D114">
        <v>17.399999999999999</v>
      </c>
      <c r="E114">
        <v>21.8</v>
      </c>
      <c r="F114">
        <v>124.547</v>
      </c>
      <c r="G114">
        <v>21.7</v>
      </c>
      <c r="H114">
        <v>75.099999999999994</v>
      </c>
      <c r="J114">
        <f>ROUND(F114,2)</f>
        <v>124.55</v>
      </c>
      <c r="K114">
        <f>SQRT(E114)</f>
        <v>4.6690470119715011</v>
      </c>
      <c r="L114" t="str">
        <f>LEFT(A114,3)</f>
        <v>Vie</v>
      </c>
      <c r="M114" t="str">
        <f>RIGHT(B114,3)</f>
        <v>sia</v>
      </c>
      <c r="N114">
        <f>RANK(G114,G:G,1)</f>
        <v>16</v>
      </c>
      <c r="O114">
        <f>LEN(A114)</f>
        <v>7</v>
      </c>
    </row>
    <row r="115" spans="1:15" x14ac:dyDescent="0.25">
      <c r="A115" t="s">
        <v>118</v>
      </c>
      <c r="B115" t="s">
        <v>29</v>
      </c>
      <c r="C115">
        <v>2007</v>
      </c>
      <c r="D115">
        <v>15.3</v>
      </c>
      <c r="E115">
        <v>17.100000000000001</v>
      </c>
      <c r="F115">
        <v>82.697500000000005</v>
      </c>
      <c r="G115">
        <v>25.8</v>
      </c>
      <c r="H115">
        <v>75.599999999999994</v>
      </c>
      <c r="J115">
        <f>ROUND(F115,2)</f>
        <v>82.7</v>
      </c>
      <c r="K115">
        <f>SQRT(E115)</f>
        <v>4.135214625627067</v>
      </c>
      <c r="L115" t="str">
        <f>LEFT(A115,3)</f>
        <v>Alb</v>
      </c>
      <c r="M115" t="str">
        <f>RIGHT(B115,3)</f>
        <v>ope</v>
      </c>
      <c r="N115">
        <f>RANK(G115,G:G,1)</f>
        <v>115</v>
      </c>
      <c r="O115">
        <f>LEN(A115)</f>
        <v>7</v>
      </c>
    </row>
    <row r="116" spans="1:15" x14ac:dyDescent="0.25">
      <c r="A116" t="s">
        <v>91</v>
      </c>
      <c r="B116" t="s">
        <v>15</v>
      </c>
      <c r="C116">
        <v>2013</v>
      </c>
      <c r="D116">
        <v>9.6999999999999993</v>
      </c>
      <c r="E116">
        <v>11.3</v>
      </c>
      <c r="F116">
        <v>92.6785</v>
      </c>
      <c r="G116">
        <v>26.1</v>
      </c>
      <c r="H116">
        <v>76.400000000000006</v>
      </c>
      <c r="J116">
        <f>ROUND(F116,2)</f>
        <v>92.68</v>
      </c>
      <c r="K116">
        <f>SQRT(E116)</f>
        <v>3.3615472627943221</v>
      </c>
      <c r="L116" t="str">
        <f>LEFT(A116,3)</f>
        <v>Oma</v>
      </c>
      <c r="M116" t="str">
        <f>RIGHT(B116,3)</f>
        <v>ast</v>
      </c>
      <c r="N116">
        <f>RANK(G116,G:G,1)</f>
        <v>139</v>
      </c>
      <c r="O116">
        <f>LEN(A116)</f>
        <v>4</v>
      </c>
    </row>
    <row r="117" spans="1:15" x14ac:dyDescent="0.25">
      <c r="A117" t="s">
        <v>119</v>
      </c>
      <c r="B117" t="s">
        <v>17</v>
      </c>
      <c r="C117">
        <v>2001</v>
      </c>
      <c r="D117">
        <v>4.3</v>
      </c>
      <c r="E117">
        <v>5.2</v>
      </c>
      <c r="F117">
        <v>121.6575</v>
      </c>
      <c r="G117">
        <v>26.5</v>
      </c>
      <c r="H117">
        <v>75.2</v>
      </c>
      <c r="J117">
        <f>ROUND(F117,2)</f>
        <v>121.66</v>
      </c>
      <c r="K117">
        <f>SQRT(E117)</f>
        <v>2.2803508501982761</v>
      </c>
      <c r="L117" t="str">
        <f>LEFT(A117,3)</f>
        <v>Cze</v>
      </c>
      <c r="M117" t="str">
        <f>RIGHT(B117,3)</f>
        <v>ion</v>
      </c>
      <c r="N117">
        <f>RANK(G117,G:G,1)</f>
        <v>160</v>
      </c>
      <c r="O117">
        <f>LEN(A117)</f>
        <v>7</v>
      </c>
    </row>
    <row r="118" spans="1:15" x14ac:dyDescent="0.25">
      <c r="A118" t="s">
        <v>120</v>
      </c>
      <c r="B118" t="s">
        <v>61</v>
      </c>
      <c r="C118">
        <v>2002</v>
      </c>
      <c r="D118">
        <v>13.8</v>
      </c>
      <c r="E118">
        <v>16</v>
      </c>
      <c r="F118">
        <v>155.07050000000001</v>
      </c>
      <c r="G118">
        <v>31.4</v>
      </c>
      <c r="H118">
        <v>69.8</v>
      </c>
      <c r="J118">
        <f>ROUND(F118,2)</f>
        <v>155.07</v>
      </c>
      <c r="K118">
        <f>SQRT(E118)</f>
        <v>4</v>
      </c>
      <c r="L118" t="str">
        <f>LEFT(A118,3)</f>
        <v>Ton</v>
      </c>
      <c r="M118" t="str">
        <f>RIGHT(B118,3)</f>
        <v>nia</v>
      </c>
      <c r="N118">
        <f>RANK(G118,G:G,1)</f>
        <v>199</v>
      </c>
      <c r="O118">
        <f>LEN(A118)</f>
        <v>5</v>
      </c>
    </row>
    <row r="119" spans="1:15" x14ac:dyDescent="0.25">
      <c r="A119" t="s">
        <v>48</v>
      </c>
      <c r="B119" t="s">
        <v>43</v>
      </c>
      <c r="C119">
        <v>2001</v>
      </c>
      <c r="D119">
        <v>70.7</v>
      </c>
      <c r="E119">
        <v>111.1</v>
      </c>
      <c r="F119">
        <v>420.18</v>
      </c>
      <c r="G119">
        <v>22.1</v>
      </c>
      <c r="H119">
        <v>52.5</v>
      </c>
      <c r="J119">
        <f>ROUND(F119,2)</f>
        <v>420.18</v>
      </c>
      <c r="K119">
        <f>SQRT(E119)</f>
        <v>10.540398474441087</v>
      </c>
      <c r="L119" t="str">
        <f>LEFT(A119,3)</f>
        <v>Con</v>
      </c>
      <c r="M119" t="str">
        <f>RIGHT(B119,3)</f>
        <v>ica</v>
      </c>
      <c r="N119">
        <f>RANK(G119,G:G,1)</f>
        <v>26</v>
      </c>
      <c r="O119">
        <f>LEN(A119)</f>
        <v>11</v>
      </c>
    </row>
    <row r="120" spans="1:15" x14ac:dyDescent="0.25">
      <c r="A120" t="s">
        <v>121</v>
      </c>
      <c r="B120" t="s">
        <v>17</v>
      </c>
      <c r="C120">
        <v>2010</v>
      </c>
      <c r="D120">
        <v>2.6</v>
      </c>
      <c r="E120">
        <v>3.2</v>
      </c>
      <c r="F120">
        <v>86.191999999999993</v>
      </c>
      <c r="G120">
        <v>26.1</v>
      </c>
      <c r="H120">
        <v>79.400000000000006</v>
      </c>
      <c r="J120">
        <f>ROUND(F120,2)</f>
        <v>86.19</v>
      </c>
      <c r="K120">
        <f>SQRT(E120)</f>
        <v>1.7888543819998317</v>
      </c>
      <c r="L120" t="str">
        <f>LEFT(A120,3)</f>
        <v>Slo</v>
      </c>
      <c r="M120" t="str">
        <f>RIGHT(B120,3)</f>
        <v>ion</v>
      </c>
      <c r="N120">
        <f>RANK(G120,G:G,1)</f>
        <v>139</v>
      </c>
      <c r="O120">
        <f>LEN(A120)</f>
        <v>8</v>
      </c>
    </row>
    <row r="121" spans="1:15" x14ac:dyDescent="0.25">
      <c r="A121" t="s">
        <v>45</v>
      </c>
      <c r="B121" t="s">
        <v>43</v>
      </c>
      <c r="C121">
        <v>2001</v>
      </c>
      <c r="D121">
        <v>52.3</v>
      </c>
      <c r="E121">
        <v>81.400000000000006</v>
      </c>
      <c r="F121">
        <v>321.97250000000003</v>
      </c>
      <c r="G121">
        <v>23.8</v>
      </c>
      <c r="H121">
        <v>58</v>
      </c>
      <c r="J121">
        <f>ROUND(F121,2)</f>
        <v>321.97000000000003</v>
      </c>
      <c r="K121">
        <f>SQRT(E121)</f>
        <v>9.0221948549119695</v>
      </c>
      <c r="L121" t="str">
        <f>LEFT(A121,3)</f>
        <v>Gab</v>
      </c>
      <c r="M121" t="str">
        <f>RIGHT(B121,3)</f>
        <v>ica</v>
      </c>
      <c r="N121">
        <f>RANK(G121,G:G,1)</f>
        <v>65</v>
      </c>
      <c r="O121">
        <f>LEN(A121)</f>
        <v>5</v>
      </c>
    </row>
    <row r="122" spans="1:15" x14ac:dyDescent="0.25">
      <c r="A122" t="s">
        <v>122</v>
      </c>
      <c r="B122" t="s">
        <v>43</v>
      </c>
      <c r="C122">
        <v>2014</v>
      </c>
      <c r="D122">
        <v>46</v>
      </c>
      <c r="E122">
        <v>68.3</v>
      </c>
      <c r="F122">
        <v>309.54950000000002</v>
      </c>
      <c r="G122">
        <v>22.4</v>
      </c>
      <c r="H122">
        <v>60.8</v>
      </c>
      <c r="J122">
        <f>ROUND(F122,2)</f>
        <v>309.55</v>
      </c>
      <c r="K122">
        <f>SQRT(E122)</f>
        <v>8.2643814045577546</v>
      </c>
      <c r="L122" t="str">
        <f>LEFT(A122,3)</f>
        <v>Zam</v>
      </c>
      <c r="M122" t="str">
        <f>RIGHT(B122,3)</f>
        <v>ica</v>
      </c>
      <c r="N122">
        <f>RANK(G122,G:G,1)</f>
        <v>30</v>
      </c>
      <c r="O122">
        <f>LEN(A122)</f>
        <v>6</v>
      </c>
    </row>
    <row r="123" spans="1:15" x14ac:dyDescent="0.25">
      <c r="A123" t="s">
        <v>102</v>
      </c>
      <c r="B123" t="s">
        <v>43</v>
      </c>
      <c r="C123">
        <v>2015</v>
      </c>
      <c r="D123">
        <v>45.2</v>
      </c>
      <c r="E123">
        <v>57.2</v>
      </c>
      <c r="F123">
        <v>434.82100000000003</v>
      </c>
      <c r="G123">
        <v>26.8</v>
      </c>
      <c r="H123">
        <v>55.4</v>
      </c>
      <c r="J123">
        <f>ROUND(F123,2)</f>
        <v>434.82</v>
      </c>
      <c r="K123">
        <f>SQRT(E123)</f>
        <v>7.5630681604756154</v>
      </c>
      <c r="L123" t="str">
        <f>LEFT(A123,3)</f>
        <v>Esw</v>
      </c>
      <c r="M123" t="str">
        <f>RIGHT(B123,3)</f>
        <v>ica</v>
      </c>
      <c r="N123">
        <f>RANK(G123,G:G,1)</f>
        <v>171</v>
      </c>
      <c r="O123">
        <f>LEN(A123)</f>
        <v>8</v>
      </c>
    </row>
    <row r="124" spans="1:15" x14ac:dyDescent="0.25">
      <c r="A124" t="s">
        <v>64</v>
      </c>
      <c r="B124" t="s">
        <v>43</v>
      </c>
      <c r="C124">
        <v>2000</v>
      </c>
      <c r="D124">
        <v>75.7</v>
      </c>
      <c r="E124">
        <v>119.9</v>
      </c>
      <c r="F124">
        <v>331.9545</v>
      </c>
      <c r="G124">
        <v>22</v>
      </c>
      <c r="H124">
        <v>53.5</v>
      </c>
      <c r="J124">
        <f>ROUND(F124,2)</f>
        <v>331.95</v>
      </c>
      <c r="K124">
        <f>SQRT(E124)</f>
        <v>10.94988584415381</v>
      </c>
      <c r="L124" t="str">
        <f>LEFT(A124,3)</f>
        <v>Tog</v>
      </c>
      <c r="M124" t="str">
        <f>RIGHT(B124,3)</f>
        <v>ica</v>
      </c>
      <c r="N124">
        <f>RANK(G124,G:G,1)</f>
        <v>25</v>
      </c>
      <c r="O124">
        <f>LEN(A124)</f>
        <v>4</v>
      </c>
    </row>
    <row r="125" spans="1:15" x14ac:dyDescent="0.25">
      <c r="A125" t="s">
        <v>115</v>
      </c>
      <c r="B125" t="s">
        <v>26</v>
      </c>
      <c r="C125">
        <v>2014</v>
      </c>
      <c r="D125">
        <v>28.8</v>
      </c>
      <c r="E125">
        <v>35</v>
      </c>
      <c r="F125">
        <v>163.0145</v>
      </c>
      <c r="G125">
        <v>26.3</v>
      </c>
      <c r="H125">
        <v>73</v>
      </c>
      <c r="J125">
        <f>ROUND(F125,2)</f>
        <v>163.01</v>
      </c>
      <c r="K125">
        <f>SQRT(E125)</f>
        <v>5.9160797830996161</v>
      </c>
      <c r="L125" t="str">
        <f>LEFT(A125,3)</f>
        <v>Dom</v>
      </c>
      <c r="M125" t="str">
        <f>RIGHT(B125,3)</f>
        <v>ean</v>
      </c>
      <c r="N125">
        <f>RANK(G125,G:G,1)</f>
        <v>150</v>
      </c>
      <c r="O125">
        <f>LEN(A125)</f>
        <v>18</v>
      </c>
    </row>
    <row r="126" spans="1:15" x14ac:dyDescent="0.25">
      <c r="A126" t="s">
        <v>123</v>
      </c>
      <c r="B126" t="s">
        <v>43</v>
      </c>
      <c r="C126">
        <v>2001</v>
      </c>
      <c r="D126">
        <v>35.200000000000003</v>
      </c>
      <c r="E126">
        <v>43.9</v>
      </c>
      <c r="F126">
        <v>174.899</v>
      </c>
      <c r="G126">
        <v>27.8</v>
      </c>
      <c r="H126">
        <v>68.8</v>
      </c>
      <c r="J126">
        <f>ROUND(F126,2)</f>
        <v>174.9</v>
      </c>
      <c r="K126">
        <f>SQRT(E126)</f>
        <v>6.6257075093909785</v>
      </c>
      <c r="L126" t="str">
        <f>LEFT(A126,3)</f>
        <v>Egy</v>
      </c>
      <c r="M126" t="str">
        <f>RIGHT(B126,3)</f>
        <v>ica</v>
      </c>
      <c r="N126">
        <f>RANK(G126,G:G,1)</f>
        <v>183</v>
      </c>
      <c r="O126">
        <f>LEN(A126)</f>
        <v>16</v>
      </c>
    </row>
    <row r="127" spans="1:15" x14ac:dyDescent="0.25">
      <c r="A127" t="s">
        <v>124</v>
      </c>
      <c r="B127" t="s">
        <v>61</v>
      </c>
      <c r="C127">
        <v>2014</v>
      </c>
      <c r="D127">
        <v>41.2</v>
      </c>
      <c r="E127">
        <v>52.4</v>
      </c>
      <c r="F127">
        <v>227.21799999999999</v>
      </c>
      <c r="G127">
        <v>25.4</v>
      </c>
      <c r="H127">
        <v>63.2</v>
      </c>
      <c r="J127">
        <f>ROUND(F127,2)</f>
        <v>227.22</v>
      </c>
      <c r="K127">
        <f>SQRT(E127)</f>
        <v>7.2387844283415426</v>
      </c>
      <c r="L127" t="str">
        <f>LEFT(A127,3)</f>
        <v>Pap</v>
      </c>
      <c r="M127" t="str">
        <f>RIGHT(B127,3)</f>
        <v>nia</v>
      </c>
      <c r="N127">
        <f>RANK(G127,G:G,1)</f>
        <v>97</v>
      </c>
      <c r="O127">
        <f>LEN(A127)</f>
        <v>16</v>
      </c>
    </row>
    <row r="128" spans="1:15" x14ac:dyDescent="0.25">
      <c r="A128" t="s">
        <v>125</v>
      </c>
      <c r="B128" t="s">
        <v>17</v>
      </c>
      <c r="C128">
        <v>2000</v>
      </c>
      <c r="D128">
        <v>6</v>
      </c>
      <c r="E128">
        <v>7.1</v>
      </c>
      <c r="F128">
        <v>94.641499999999994</v>
      </c>
      <c r="G128">
        <v>26.3</v>
      </c>
      <c r="H128">
        <v>76.5</v>
      </c>
      <c r="J128">
        <f>ROUND(F128,2)</f>
        <v>94.64</v>
      </c>
      <c r="K128">
        <f>SQRT(E128)</f>
        <v>2.6645825188948455</v>
      </c>
      <c r="L128" t="str">
        <f>LEFT(A128,3)</f>
        <v>Ire</v>
      </c>
      <c r="M128" t="str">
        <f>RIGHT(B128,3)</f>
        <v>ion</v>
      </c>
      <c r="N128">
        <f>RANK(G128,G:G,1)</f>
        <v>150</v>
      </c>
      <c r="O128">
        <f>LEN(A128)</f>
        <v>7</v>
      </c>
    </row>
    <row r="129" spans="1:15" x14ac:dyDescent="0.25">
      <c r="A129" t="s">
        <v>55</v>
      </c>
      <c r="B129" t="s">
        <v>19</v>
      </c>
      <c r="C129">
        <v>2010</v>
      </c>
      <c r="D129">
        <v>34.1</v>
      </c>
      <c r="E129">
        <v>42.4</v>
      </c>
      <c r="F129">
        <v>227.3425</v>
      </c>
      <c r="G129">
        <v>23.3</v>
      </c>
      <c r="H129">
        <v>68.400000000000006</v>
      </c>
      <c r="J129">
        <f>ROUND(F129,2)</f>
        <v>227.34</v>
      </c>
      <c r="K129">
        <f>SQRT(E129)</f>
        <v>6.5115282384398823</v>
      </c>
      <c r="L129" t="str">
        <f>LEFT(A129,3)</f>
        <v>Bhu</v>
      </c>
      <c r="M129" t="str">
        <f>RIGHT(B129,3)</f>
        <v>sia</v>
      </c>
      <c r="N129">
        <f>RANK(G129,G:G,1)</f>
        <v>51</v>
      </c>
      <c r="O129">
        <f>LEN(A129)</f>
        <v>6</v>
      </c>
    </row>
    <row r="130" spans="1:15" x14ac:dyDescent="0.25">
      <c r="A130" t="s">
        <v>42</v>
      </c>
      <c r="B130" t="s">
        <v>43</v>
      </c>
      <c r="C130">
        <v>2001</v>
      </c>
      <c r="D130">
        <v>72.099999999999994</v>
      </c>
      <c r="E130">
        <v>100.2</v>
      </c>
      <c r="F130">
        <v>270.66500000000002</v>
      </c>
      <c r="G130">
        <v>22.9</v>
      </c>
      <c r="H130">
        <v>59.5</v>
      </c>
      <c r="J130">
        <f>ROUND(F130,2)</f>
        <v>270.67</v>
      </c>
      <c r="K130">
        <f>SQRT(E130)</f>
        <v>10.009995004993758</v>
      </c>
      <c r="L130" t="str">
        <f>LEFT(A130,3)</f>
        <v>Com</v>
      </c>
      <c r="M130" t="str">
        <f>RIGHT(B130,3)</f>
        <v>ica</v>
      </c>
      <c r="N130">
        <f>RANK(G130,G:G,1)</f>
        <v>43</v>
      </c>
      <c r="O130">
        <f>LEN(A130)</f>
        <v>7</v>
      </c>
    </row>
    <row r="131" spans="1:15" x14ac:dyDescent="0.25">
      <c r="A131" t="s">
        <v>126</v>
      </c>
      <c r="B131" t="s">
        <v>21</v>
      </c>
      <c r="C131">
        <v>2014</v>
      </c>
      <c r="D131">
        <v>6.9</v>
      </c>
      <c r="E131">
        <v>8.1</v>
      </c>
      <c r="F131">
        <v>90.433000000000007</v>
      </c>
      <c r="G131">
        <v>27.8</v>
      </c>
      <c r="H131">
        <v>79.5</v>
      </c>
      <c r="J131">
        <f>ROUND(F131,2)</f>
        <v>90.43</v>
      </c>
      <c r="K131">
        <f>SQRT(E131)</f>
        <v>2.8460498941515415</v>
      </c>
      <c r="L131" t="str">
        <f>LEFT(A131,3)</f>
        <v>Chi</v>
      </c>
      <c r="M131" t="str">
        <f>RIGHT(B131,3)</f>
        <v>ica</v>
      </c>
      <c r="N131">
        <f>RANK(G131,G:G,1)</f>
        <v>183</v>
      </c>
      <c r="O131">
        <f>LEN(A131)</f>
        <v>5</v>
      </c>
    </row>
    <row r="132" spans="1:15" x14ac:dyDescent="0.25">
      <c r="A132" t="s">
        <v>127</v>
      </c>
      <c r="B132" t="s">
        <v>15</v>
      </c>
      <c r="C132">
        <v>2006</v>
      </c>
      <c r="D132">
        <v>16.5</v>
      </c>
      <c r="E132">
        <v>19.3</v>
      </c>
      <c r="F132">
        <v>115.127</v>
      </c>
      <c r="G132">
        <v>27.4</v>
      </c>
      <c r="H132">
        <v>74.400000000000006</v>
      </c>
      <c r="J132">
        <f>ROUND(F132,2)</f>
        <v>115.13</v>
      </c>
      <c r="K132">
        <f>SQRT(E132)</f>
        <v>4.3931765272977596</v>
      </c>
      <c r="L132" t="str">
        <f>LEFT(A132,3)</f>
        <v>Syr</v>
      </c>
      <c r="M132" t="str">
        <f>RIGHT(B132,3)</f>
        <v>ast</v>
      </c>
      <c r="N132">
        <f>RANK(G132,G:G,1)</f>
        <v>179</v>
      </c>
      <c r="O132">
        <f>LEN(A132)</f>
        <v>20</v>
      </c>
    </row>
    <row r="133" spans="1:15" x14ac:dyDescent="0.25">
      <c r="A133" t="s">
        <v>113</v>
      </c>
      <c r="B133" t="s">
        <v>19</v>
      </c>
      <c r="C133">
        <v>2009</v>
      </c>
      <c r="D133">
        <v>40.200000000000003</v>
      </c>
      <c r="E133">
        <v>47.5</v>
      </c>
      <c r="F133">
        <v>198.62</v>
      </c>
      <c r="G133">
        <v>21.5</v>
      </c>
      <c r="H133">
        <v>66</v>
      </c>
      <c r="J133">
        <f>ROUND(F133,2)</f>
        <v>198.62</v>
      </c>
      <c r="K133">
        <f>SQRT(E133)</f>
        <v>6.8920243760451108</v>
      </c>
      <c r="L133" t="str">
        <f>LEFT(A133,3)</f>
        <v>Cam</v>
      </c>
      <c r="M133" t="str">
        <f>RIGHT(B133,3)</f>
        <v>sia</v>
      </c>
      <c r="N133">
        <f>RANK(G133,G:G,1)</f>
        <v>15</v>
      </c>
      <c r="O133">
        <f>LEN(A133)</f>
        <v>8</v>
      </c>
    </row>
    <row r="134" spans="1:15" x14ac:dyDescent="0.25">
      <c r="A134" t="s">
        <v>128</v>
      </c>
      <c r="B134" t="s">
        <v>29</v>
      </c>
      <c r="C134">
        <v>2004</v>
      </c>
      <c r="D134">
        <v>8.4</v>
      </c>
      <c r="E134">
        <v>9.6999999999999993</v>
      </c>
      <c r="F134">
        <v>145.09399999999999</v>
      </c>
      <c r="G134">
        <v>25.5</v>
      </c>
      <c r="H134">
        <v>72.7</v>
      </c>
      <c r="J134">
        <f>ROUND(F134,2)</f>
        <v>145.09</v>
      </c>
      <c r="K134">
        <f>SQRT(E134)</f>
        <v>3.1144823004794873</v>
      </c>
      <c r="L134" t="str">
        <f>LEFT(A134,3)</f>
        <v>Ser</v>
      </c>
      <c r="M134" t="str">
        <f>RIGHT(B134,3)</f>
        <v>ope</v>
      </c>
      <c r="N134">
        <f>RANK(G134,G:G,1)</f>
        <v>100</v>
      </c>
      <c r="O134">
        <f>LEN(A134)</f>
        <v>6</v>
      </c>
    </row>
    <row r="135" spans="1:15" x14ac:dyDescent="0.25">
      <c r="A135" t="s">
        <v>129</v>
      </c>
      <c r="B135" t="s">
        <v>17</v>
      </c>
      <c r="C135">
        <v>2002</v>
      </c>
      <c r="D135">
        <v>4.4000000000000004</v>
      </c>
      <c r="E135">
        <v>5.4</v>
      </c>
      <c r="F135">
        <v>95.81</v>
      </c>
      <c r="G135">
        <v>25.6</v>
      </c>
      <c r="H135">
        <v>78.099999999999994</v>
      </c>
      <c r="J135">
        <f>ROUND(F135,2)</f>
        <v>95.81</v>
      </c>
      <c r="K135">
        <f>SQRT(E135)</f>
        <v>2.3237900077244502</v>
      </c>
      <c r="L135" t="str">
        <f>LEFT(A135,3)</f>
        <v>Bel</v>
      </c>
      <c r="M135" t="str">
        <f>RIGHT(B135,3)</f>
        <v>ion</v>
      </c>
      <c r="N135">
        <f>RANK(G135,G:G,1)</f>
        <v>106</v>
      </c>
      <c r="O135">
        <f>LEN(A135)</f>
        <v>7</v>
      </c>
    </row>
    <row r="136" spans="1:15" x14ac:dyDescent="0.25">
      <c r="A136" t="s">
        <v>51</v>
      </c>
      <c r="B136" t="s">
        <v>26</v>
      </c>
      <c r="C136">
        <v>2004</v>
      </c>
      <c r="D136">
        <v>18.2</v>
      </c>
      <c r="E136">
        <v>21.3</v>
      </c>
      <c r="F136">
        <v>190.602</v>
      </c>
      <c r="G136">
        <v>27.8</v>
      </c>
      <c r="H136">
        <v>69.7</v>
      </c>
      <c r="J136">
        <f>ROUND(F136,2)</f>
        <v>190.6</v>
      </c>
      <c r="K136">
        <f>SQRT(E136)</f>
        <v>4.6151923036857303</v>
      </c>
      <c r="L136" t="str">
        <f>LEFT(A136,3)</f>
        <v>Bel</v>
      </c>
      <c r="M136" t="str">
        <f>RIGHT(B136,3)</f>
        <v>ean</v>
      </c>
      <c r="N136">
        <f>RANK(G136,G:G,1)</f>
        <v>183</v>
      </c>
      <c r="O136">
        <f>LEN(A136)</f>
        <v>6</v>
      </c>
    </row>
    <row r="137" spans="1:15" x14ac:dyDescent="0.25">
      <c r="A137" t="s">
        <v>25</v>
      </c>
      <c r="B137" t="s">
        <v>26</v>
      </c>
      <c r="C137">
        <v>2000</v>
      </c>
      <c r="D137">
        <v>11.1</v>
      </c>
      <c r="E137">
        <v>13.1</v>
      </c>
      <c r="F137">
        <v>98.998500000000007</v>
      </c>
      <c r="G137">
        <v>25.8</v>
      </c>
      <c r="H137">
        <v>77.5</v>
      </c>
      <c r="J137">
        <f>ROUND(F137,2)</f>
        <v>99</v>
      </c>
      <c r="K137">
        <f>SQRT(E137)</f>
        <v>3.6193922141707713</v>
      </c>
      <c r="L137" t="str">
        <f>LEFT(A137,3)</f>
        <v>Cos</v>
      </c>
      <c r="M137" t="str">
        <f>RIGHT(B137,3)</f>
        <v>ean</v>
      </c>
      <c r="N137">
        <f>RANK(G137,G:G,1)</f>
        <v>115</v>
      </c>
      <c r="O137">
        <f>LEN(A137)</f>
        <v>10</v>
      </c>
    </row>
    <row r="138" spans="1:15" x14ac:dyDescent="0.25">
      <c r="A138" t="s">
        <v>75</v>
      </c>
      <c r="B138" t="s">
        <v>17</v>
      </c>
      <c r="C138">
        <v>2007</v>
      </c>
      <c r="D138">
        <v>13</v>
      </c>
      <c r="E138">
        <v>15.2</v>
      </c>
      <c r="F138">
        <v>155.90649999999999</v>
      </c>
      <c r="G138">
        <v>25.6</v>
      </c>
      <c r="H138">
        <v>72.599999999999994</v>
      </c>
      <c r="J138">
        <f>ROUND(F138,2)</f>
        <v>155.91</v>
      </c>
      <c r="K138">
        <f>SQRT(E138)</f>
        <v>3.8987177379235853</v>
      </c>
      <c r="L138" t="str">
        <f>LEFT(A138,3)</f>
        <v>Rom</v>
      </c>
      <c r="M138" t="str">
        <f>RIGHT(B138,3)</f>
        <v>ion</v>
      </c>
      <c r="N138">
        <f>RANK(G138,G:G,1)</f>
        <v>106</v>
      </c>
      <c r="O138">
        <f>LEN(A138)</f>
        <v>7</v>
      </c>
    </row>
    <row r="139" spans="1:15" x14ac:dyDescent="0.25">
      <c r="A139" t="s">
        <v>130</v>
      </c>
      <c r="B139" t="s">
        <v>26</v>
      </c>
      <c r="C139">
        <v>2008</v>
      </c>
      <c r="D139">
        <v>5.4</v>
      </c>
      <c r="E139">
        <v>6.7</v>
      </c>
      <c r="F139">
        <v>96.542000000000002</v>
      </c>
      <c r="G139">
        <v>25.1</v>
      </c>
      <c r="H139">
        <v>78.2</v>
      </c>
      <c r="J139">
        <f>ROUND(F139,2)</f>
        <v>96.54</v>
      </c>
      <c r="K139">
        <f>SQRT(E139)</f>
        <v>2.5884358211089569</v>
      </c>
      <c r="L139" t="str">
        <f>LEFT(A139,3)</f>
        <v>Cub</v>
      </c>
      <c r="M139" t="str">
        <f>RIGHT(B139,3)</f>
        <v>ean</v>
      </c>
      <c r="N139">
        <f>RANK(G139,G:G,1)</f>
        <v>89</v>
      </c>
      <c r="O139">
        <f>LEN(A139)</f>
        <v>4</v>
      </c>
    </row>
    <row r="140" spans="1:15" x14ac:dyDescent="0.25">
      <c r="A140" t="s">
        <v>107</v>
      </c>
      <c r="B140" t="s">
        <v>26</v>
      </c>
      <c r="C140">
        <v>2014</v>
      </c>
      <c r="D140">
        <v>17.100000000000001</v>
      </c>
      <c r="E140">
        <v>20</v>
      </c>
      <c r="F140">
        <v>147.875</v>
      </c>
      <c r="G140">
        <v>26.5</v>
      </c>
      <c r="H140">
        <v>74.3</v>
      </c>
      <c r="J140">
        <f>ROUND(F140,2)</f>
        <v>147.88</v>
      </c>
      <c r="K140">
        <f>SQRT(E140)</f>
        <v>4.4721359549995796</v>
      </c>
      <c r="L140" t="str">
        <f>LEFT(A140,3)</f>
        <v>Hon</v>
      </c>
      <c r="M140" t="str">
        <f>RIGHT(B140,3)</f>
        <v>ean</v>
      </c>
      <c r="N140">
        <f>RANK(G140,G:G,1)</f>
        <v>160</v>
      </c>
      <c r="O140">
        <f>LEN(A140)</f>
        <v>8</v>
      </c>
    </row>
    <row r="141" spans="1:15" x14ac:dyDescent="0.25">
      <c r="A141" t="s">
        <v>131</v>
      </c>
      <c r="B141" t="s">
        <v>26</v>
      </c>
      <c r="C141">
        <v>2007</v>
      </c>
      <c r="D141">
        <v>21.7</v>
      </c>
      <c r="E141">
        <v>24.4</v>
      </c>
      <c r="F141">
        <v>184.09299999999999</v>
      </c>
      <c r="G141">
        <v>26.7</v>
      </c>
      <c r="H141">
        <v>71.2</v>
      </c>
      <c r="J141">
        <f>ROUND(F141,2)</f>
        <v>184.09</v>
      </c>
      <c r="K141">
        <f>SQRT(E141)</f>
        <v>4.9396356140913875</v>
      </c>
      <c r="L141" t="str">
        <f>LEFT(A141,3)</f>
        <v>Tri</v>
      </c>
      <c r="M141" t="str">
        <f>RIGHT(B141,3)</f>
        <v>ean</v>
      </c>
      <c r="N141">
        <f>RANK(G141,G:G,1)</f>
        <v>169</v>
      </c>
      <c r="O141">
        <f>LEN(A141)</f>
        <v>19</v>
      </c>
    </row>
    <row r="142" spans="1:15" x14ac:dyDescent="0.25">
      <c r="A142" t="s">
        <v>132</v>
      </c>
      <c r="B142" t="s">
        <v>43</v>
      </c>
      <c r="C142">
        <v>2004</v>
      </c>
      <c r="D142">
        <v>42.1</v>
      </c>
      <c r="E142">
        <v>72.7</v>
      </c>
      <c r="F142">
        <v>528.24950000000001</v>
      </c>
      <c r="G142">
        <v>23.9</v>
      </c>
      <c r="H142">
        <v>51.2</v>
      </c>
      <c r="J142">
        <f>ROUND(F142,2)</f>
        <v>528.25</v>
      </c>
      <c r="K142">
        <f>SQRT(E142)</f>
        <v>8.5264294989168832</v>
      </c>
      <c r="L142" t="str">
        <f>LEFT(A142,3)</f>
        <v>Bot</v>
      </c>
      <c r="M142" t="str">
        <f>RIGHT(B142,3)</f>
        <v>ica</v>
      </c>
      <c r="N142">
        <f>RANK(G142,G:G,1)</f>
        <v>67</v>
      </c>
      <c r="O142">
        <f>LEN(A142)</f>
        <v>8</v>
      </c>
    </row>
    <row r="143" spans="1:15" x14ac:dyDescent="0.25">
      <c r="A143" t="s">
        <v>80</v>
      </c>
      <c r="B143" t="s">
        <v>26</v>
      </c>
      <c r="C143">
        <v>2005</v>
      </c>
      <c r="D143">
        <v>18.899999999999999</v>
      </c>
      <c r="E143">
        <v>21.5</v>
      </c>
      <c r="F143">
        <v>173.29499999999999</v>
      </c>
      <c r="G143">
        <v>26</v>
      </c>
      <c r="H143">
        <v>71.3</v>
      </c>
      <c r="J143">
        <f>ROUND(F143,2)</f>
        <v>173.3</v>
      </c>
      <c r="K143">
        <f>SQRT(E143)</f>
        <v>4.636809247747852</v>
      </c>
      <c r="L143" t="str">
        <f>LEFT(A143,3)</f>
        <v>St.</v>
      </c>
      <c r="M143" t="str">
        <f>RIGHT(B143,3)</f>
        <v>ean</v>
      </c>
      <c r="N143">
        <f>RANK(G143,G:G,1)</f>
        <v>132</v>
      </c>
      <c r="O143">
        <f>LEN(A143)</f>
        <v>30</v>
      </c>
    </row>
    <row r="144" spans="1:15" x14ac:dyDescent="0.25">
      <c r="A144" t="s">
        <v>112</v>
      </c>
      <c r="B144" t="s">
        <v>21</v>
      </c>
      <c r="C144">
        <v>2003</v>
      </c>
      <c r="D144">
        <v>47.8</v>
      </c>
      <c r="E144">
        <v>63.3</v>
      </c>
      <c r="F144">
        <v>227.51849999999999</v>
      </c>
      <c r="G144">
        <v>25.1</v>
      </c>
      <c r="H144">
        <v>64.2</v>
      </c>
      <c r="J144">
        <f>ROUND(F144,2)</f>
        <v>227.52</v>
      </c>
      <c r="K144">
        <f>SQRT(E144)</f>
        <v>7.9561297123664341</v>
      </c>
      <c r="L144" t="str">
        <f>LEFT(A144,3)</f>
        <v>Bol</v>
      </c>
      <c r="M144" t="str">
        <f>RIGHT(B144,3)</f>
        <v>ica</v>
      </c>
      <c r="N144">
        <f>RANK(G144,G:G,1)</f>
        <v>89</v>
      </c>
      <c r="O144">
        <f>LEN(A144)</f>
        <v>7</v>
      </c>
    </row>
    <row r="145" spans="1:15" x14ac:dyDescent="0.25">
      <c r="A145" t="s">
        <v>133</v>
      </c>
      <c r="B145" t="s">
        <v>21</v>
      </c>
      <c r="C145">
        <v>2002</v>
      </c>
      <c r="D145">
        <v>26.8</v>
      </c>
      <c r="E145">
        <v>32.299999999999997</v>
      </c>
      <c r="F145">
        <v>166.29499999999999</v>
      </c>
      <c r="G145">
        <v>25.1</v>
      </c>
      <c r="H145">
        <v>71</v>
      </c>
      <c r="J145">
        <f>ROUND(F145,2)</f>
        <v>166.3</v>
      </c>
      <c r="K145">
        <f>SQRT(E145)</f>
        <v>5.6833088953531288</v>
      </c>
      <c r="L145" t="str">
        <f>LEFT(A145,3)</f>
        <v>Par</v>
      </c>
      <c r="M145" t="str">
        <f>RIGHT(B145,3)</f>
        <v>ica</v>
      </c>
      <c r="N145">
        <f>RANK(G145,G:G,1)</f>
        <v>89</v>
      </c>
      <c r="O145">
        <f>LEN(A145)</f>
        <v>8</v>
      </c>
    </row>
    <row r="146" spans="1:15" x14ac:dyDescent="0.25">
      <c r="A146" t="s">
        <v>37</v>
      </c>
      <c r="B146" t="s">
        <v>26</v>
      </c>
      <c r="C146">
        <v>2014</v>
      </c>
      <c r="D146">
        <v>12.2</v>
      </c>
      <c r="E146">
        <v>14.3</v>
      </c>
      <c r="F146">
        <v>160.15</v>
      </c>
      <c r="G146">
        <v>27.8</v>
      </c>
      <c r="H146">
        <v>72.8</v>
      </c>
      <c r="J146">
        <f>ROUND(F146,2)</f>
        <v>160.15</v>
      </c>
      <c r="K146">
        <f>SQRT(E146)</f>
        <v>3.7815340802378077</v>
      </c>
      <c r="L146" t="str">
        <f>LEFT(A146,3)</f>
        <v>Bah</v>
      </c>
      <c r="M146" t="str">
        <f>RIGHT(B146,3)</f>
        <v>ean</v>
      </c>
      <c r="N146">
        <f>RANK(G146,G:G,1)</f>
        <v>183</v>
      </c>
      <c r="O146">
        <f>LEN(A146)</f>
        <v>12</v>
      </c>
    </row>
    <row r="147" spans="1:15" x14ac:dyDescent="0.25">
      <c r="A147" t="s">
        <v>25</v>
      </c>
      <c r="B147" t="s">
        <v>26</v>
      </c>
      <c r="C147">
        <v>2004</v>
      </c>
      <c r="D147">
        <v>9.9</v>
      </c>
      <c r="E147">
        <v>11.5</v>
      </c>
      <c r="F147">
        <v>96.376499999999993</v>
      </c>
      <c r="G147">
        <v>26.2</v>
      </c>
      <c r="H147">
        <v>78</v>
      </c>
      <c r="J147">
        <f>ROUND(F147,2)</f>
        <v>96.38</v>
      </c>
      <c r="K147">
        <f>SQRT(E147)</f>
        <v>3.3911649915626341</v>
      </c>
      <c r="L147" t="str">
        <f>LEFT(A147,3)</f>
        <v>Cos</v>
      </c>
      <c r="M147" t="str">
        <f>RIGHT(B147,3)</f>
        <v>ean</v>
      </c>
      <c r="N147">
        <f>RANK(G147,G:G,1)</f>
        <v>145</v>
      </c>
      <c r="O147">
        <f>LEN(A147)</f>
        <v>10</v>
      </c>
    </row>
    <row r="148" spans="1:15" x14ac:dyDescent="0.25">
      <c r="A148" t="s">
        <v>36</v>
      </c>
      <c r="B148" t="s">
        <v>17</v>
      </c>
      <c r="C148">
        <v>2001</v>
      </c>
      <c r="D148">
        <v>6.6</v>
      </c>
      <c r="E148">
        <v>7.5</v>
      </c>
      <c r="F148">
        <v>62.98</v>
      </c>
      <c r="G148">
        <v>26.9</v>
      </c>
      <c r="H148">
        <v>78.8</v>
      </c>
      <c r="J148">
        <f>ROUND(F148,2)</f>
        <v>62.98</v>
      </c>
      <c r="K148">
        <f>SQRT(E148)</f>
        <v>2.7386127875258306</v>
      </c>
      <c r="L148" t="str">
        <f>LEFT(A148,3)</f>
        <v>Mal</v>
      </c>
      <c r="M148" t="str">
        <f>RIGHT(B148,3)</f>
        <v>ion</v>
      </c>
      <c r="N148">
        <f>RANK(G148,G:G,1)</f>
        <v>172</v>
      </c>
      <c r="O148">
        <f>LEN(A148)</f>
        <v>5</v>
      </c>
    </row>
    <row r="149" spans="1:15" x14ac:dyDescent="0.25">
      <c r="A149" t="s">
        <v>134</v>
      </c>
      <c r="B149" t="s">
        <v>43</v>
      </c>
      <c r="C149">
        <v>2000</v>
      </c>
      <c r="D149">
        <v>100.5</v>
      </c>
      <c r="E149">
        <v>174.6</v>
      </c>
      <c r="F149">
        <v>570.55100000000004</v>
      </c>
      <c r="G149">
        <v>21.7</v>
      </c>
      <c r="H149">
        <v>45.1</v>
      </c>
      <c r="J149">
        <f>ROUND(F149,2)</f>
        <v>570.54999999999995</v>
      </c>
      <c r="K149">
        <f>SQRT(E149)</f>
        <v>13.213629327327144</v>
      </c>
      <c r="L149" t="str">
        <f>LEFT(A149,3)</f>
        <v>Mal</v>
      </c>
      <c r="M149" t="str">
        <f>RIGHT(B149,3)</f>
        <v>ica</v>
      </c>
      <c r="N149">
        <f>RANK(G149,G:G,1)</f>
        <v>16</v>
      </c>
      <c r="O149">
        <f>LEN(A149)</f>
        <v>6</v>
      </c>
    </row>
    <row r="150" spans="1:15" x14ac:dyDescent="0.25">
      <c r="A150" t="s">
        <v>41</v>
      </c>
      <c r="B150" t="s">
        <v>17</v>
      </c>
      <c r="C150">
        <v>2006</v>
      </c>
      <c r="D150">
        <v>3</v>
      </c>
      <c r="E150">
        <v>3.6</v>
      </c>
      <c r="F150">
        <v>94.799000000000007</v>
      </c>
      <c r="G150">
        <v>25.9</v>
      </c>
      <c r="H150">
        <v>79.2</v>
      </c>
      <c r="J150">
        <f>ROUND(F150,2)</f>
        <v>94.8</v>
      </c>
      <c r="K150">
        <f>SQRT(E150)</f>
        <v>1.8973665961010275</v>
      </c>
      <c r="L150" t="str">
        <f>LEFT(A150,3)</f>
        <v>Fin</v>
      </c>
      <c r="M150" t="str">
        <f>RIGHT(B150,3)</f>
        <v>ion</v>
      </c>
      <c r="N150">
        <f>RANK(G150,G:G,1)</f>
        <v>126</v>
      </c>
      <c r="O150">
        <f>LEN(A150)</f>
        <v>7</v>
      </c>
    </row>
    <row r="151" spans="1:15" x14ac:dyDescent="0.25">
      <c r="A151" t="s">
        <v>135</v>
      </c>
      <c r="B151" t="s">
        <v>29</v>
      </c>
      <c r="C151">
        <v>2007</v>
      </c>
      <c r="D151">
        <v>7.7</v>
      </c>
      <c r="E151">
        <v>8.9</v>
      </c>
      <c r="F151">
        <v>126.1335</v>
      </c>
      <c r="G151">
        <v>25.8</v>
      </c>
      <c r="H151">
        <v>74.3</v>
      </c>
      <c r="J151">
        <f>ROUND(F151,2)</f>
        <v>126.13</v>
      </c>
      <c r="K151">
        <f>SQRT(E151)</f>
        <v>2.9832867780352594</v>
      </c>
      <c r="L151" t="str">
        <f>LEFT(A151,3)</f>
        <v>Mon</v>
      </c>
      <c r="M151" t="str">
        <f>RIGHT(B151,3)</f>
        <v>ope</v>
      </c>
      <c r="N151">
        <f>RANK(G151,G:G,1)</f>
        <v>115</v>
      </c>
      <c r="O151">
        <f>LEN(A151)</f>
        <v>10</v>
      </c>
    </row>
    <row r="152" spans="1:15" x14ac:dyDescent="0.25">
      <c r="A152" t="s">
        <v>123</v>
      </c>
      <c r="B152" t="s">
        <v>43</v>
      </c>
      <c r="C152">
        <v>2004</v>
      </c>
      <c r="D152">
        <v>30.6</v>
      </c>
      <c r="E152">
        <v>37.5</v>
      </c>
      <c r="F152">
        <v>171.3545</v>
      </c>
      <c r="G152">
        <v>28.1</v>
      </c>
      <c r="H152">
        <v>69.3</v>
      </c>
      <c r="J152">
        <f>ROUND(F152,2)</f>
        <v>171.35</v>
      </c>
      <c r="K152">
        <f>SQRT(E152)</f>
        <v>6.1237243569579451</v>
      </c>
      <c r="L152" t="str">
        <f>LEFT(A152,3)</f>
        <v>Egy</v>
      </c>
      <c r="M152" t="str">
        <f>RIGHT(B152,3)</f>
        <v>ica</v>
      </c>
      <c r="N152">
        <f>RANK(G152,G:G,1)</f>
        <v>190</v>
      </c>
      <c r="O152">
        <f>LEN(A152)</f>
        <v>16</v>
      </c>
    </row>
    <row r="153" spans="1:15" x14ac:dyDescent="0.25">
      <c r="A153" t="s">
        <v>104</v>
      </c>
      <c r="B153" t="s">
        <v>15</v>
      </c>
      <c r="C153">
        <v>2010</v>
      </c>
      <c r="D153">
        <v>7.4</v>
      </c>
      <c r="E153">
        <v>8.6999999999999993</v>
      </c>
      <c r="F153">
        <v>74.296000000000006</v>
      </c>
      <c r="G153">
        <v>28</v>
      </c>
      <c r="H153">
        <v>76.3</v>
      </c>
      <c r="J153">
        <f>ROUND(F153,2)</f>
        <v>74.3</v>
      </c>
      <c r="K153">
        <f>SQRT(E153)</f>
        <v>2.9495762407505248</v>
      </c>
      <c r="L153" t="str">
        <f>LEFT(A153,3)</f>
        <v>Uni</v>
      </c>
      <c r="M153" t="str">
        <f>RIGHT(B153,3)</f>
        <v>ast</v>
      </c>
      <c r="N153">
        <f>RANK(G153,G:G,1)</f>
        <v>189</v>
      </c>
      <c r="O153">
        <f>LEN(A153)</f>
        <v>20</v>
      </c>
    </row>
    <row r="154" spans="1:15" x14ac:dyDescent="0.25">
      <c r="A154" t="s">
        <v>109</v>
      </c>
      <c r="B154" t="s">
        <v>29</v>
      </c>
      <c r="C154">
        <v>2006</v>
      </c>
      <c r="D154">
        <v>2.5</v>
      </c>
      <c r="E154">
        <v>3.1</v>
      </c>
      <c r="F154">
        <v>64.745000000000005</v>
      </c>
      <c r="G154">
        <v>25.9</v>
      </c>
      <c r="H154">
        <v>81.2</v>
      </c>
      <c r="J154">
        <f>ROUND(F154,2)</f>
        <v>64.75</v>
      </c>
      <c r="K154">
        <f>SQRT(E154)</f>
        <v>1.7606816861659009</v>
      </c>
      <c r="L154" t="str">
        <f>LEFT(A154,3)</f>
        <v>Ice</v>
      </c>
      <c r="M154" t="str">
        <f>RIGHT(B154,3)</f>
        <v>ope</v>
      </c>
      <c r="N154">
        <f>RANK(G154,G:G,1)</f>
        <v>126</v>
      </c>
      <c r="O154">
        <f>LEN(A154)</f>
        <v>7</v>
      </c>
    </row>
    <row r="155" spans="1:15" x14ac:dyDescent="0.25">
      <c r="A155" t="s">
        <v>114</v>
      </c>
      <c r="B155" t="s">
        <v>19</v>
      </c>
      <c r="C155">
        <v>2013</v>
      </c>
      <c r="D155">
        <v>6.8</v>
      </c>
      <c r="E155">
        <v>8</v>
      </c>
      <c r="F155">
        <v>124.66800000000001</v>
      </c>
      <c r="G155">
        <v>25.4</v>
      </c>
      <c r="H155">
        <v>75.099999999999994</v>
      </c>
      <c r="J155">
        <f>ROUND(F155,2)</f>
        <v>124.67</v>
      </c>
      <c r="K155">
        <f>SQRT(E155)</f>
        <v>2.8284271247461903</v>
      </c>
      <c r="L155" t="str">
        <f>LEFT(A155,3)</f>
        <v>Mal</v>
      </c>
      <c r="M155" t="str">
        <f>RIGHT(B155,3)</f>
        <v>sia</v>
      </c>
      <c r="N155">
        <f>RANK(G155,G:G,1)</f>
        <v>97</v>
      </c>
      <c r="O155">
        <f>LEN(A155)</f>
        <v>8</v>
      </c>
    </row>
    <row r="156" spans="1:15" x14ac:dyDescent="0.25">
      <c r="A156" t="s">
        <v>83</v>
      </c>
      <c r="B156" t="s">
        <v>26</v>
      </c>
      <c r="C156">
        <v>2002</v>
      </c>
      <c r="D156">
        <v>11.9</v>
      </c>
      <c r="E156">
        <v>14.6</v>
      </c>
      <c r="F156">
        <v>152.267</v>
      </c>
      <c r="G156">
        <v>25.3</v>
      </c>
      <c r="H156">
        <v>74.400000000000006</v>
      </c>
      <c r="J156">
        <f>ROUND(F156,2)</f>
        <v>152.27000000000001</v>
      </c>
      <c r="K156">
        <f>SQRT(E156)</f>
        <v>3.8209946349085602</v>
      </c>
      <c r="L156" t="str">
        <f>LEFT(A156,3)</f>
        <v>Ant</v>
      </c>
      <c r="M156" t="str">
        <f>RIGHT(B156,3)</f>
        <v>ean</v>
      </c>
      <c r="N156">
        <f>RANK(G156,G:G,1)</f>
        <v>94</v>
      </c>
      <c r="O156">
        <f>LEN(A156)</f>
        <v>19</v>
      </c>
    </row>
    <row r="157" spans="1:15" x14ac:dyDescent="0.25">
      <c r="A157" t="s">
        <v>76</v>
      </c>
      <c r="B157" t="s">
        <v>43</v>
      </c>
      <c r="C157">
        <v>2002</v>
      </c>
      <c r="D157">
        <v>108.5</v>
      </c>
      <c r="E157">
        <v>165.8</v>
      </c>
      <c r="F157">
        <v>551.17750000000001</v>
      </c>
      <c r="G157">
        <v>21.7</v>
      </c>
      <c r="H157">
        <v>44.1</v>
      </c>
      <c r="J157">
        <f>ROUND(F157,2)</f>
        <v>551.17999999999995</v>
      </c>
      <c r="K157">
        <f>SQRT(E157)</f>
        <v>12.876334882255899</v>
      </c>
      <c r="L157" t="str">
        <f>LEFT(A157,3)</f>
        <v>Cen</v>
      </c>
      <c r="M157" t="str">
        <f>RIGHT(B157,3)</f>
        <v>ica</v>
      </c>
      <c r="N157">
        <f>RANK(G157,G:G,1)</f>
        <v>16</v>
      </c>
      <c r="O157">
        <f>LEN(A157)</f>
        <v>24</v>
      </c>
    </row>
    <row r="158" spans="1:15" x14ac:dyDescent="0.25">
      <c r="A158" t="s">
        <v>136</v>
      </c>
      <c r="B158" t="s">
        <v>61</v>
      </c>
      <c r="C158">
        <v>2013</v>
      </c>
      <c r="D158">
        <v>45.9</v>
      </c>
      <c r="E158">
        <v>54.2</v>
      </c>
      <c r="F158">
        <v>154.75550000000001</v>
      </c>
      <c r="G158">
        <v>21</v>
      </c>
      <c r="H158">
        <v>68</v>
      </c>
      <c r="J158">
        <f>ROUND(F158,2)</f>
        <v>154.76</v>
      </c>
      <c r="K158">
        <f>SQRT(E158)</f>
        <v>7.3620649277223844</v>
      </c>
      <c r="L158" t="str">
        <f>LEFT(A158,3)</f>
        <v>Tim</v>
      </c>
      <c r="M158" t="str">
        <f>RIGHT(B158,3)</f>
        <v>nia</v>
      </c>
      <c r="N158">
        <f>RANK(G158,G:G,1)</f>
        <v>4</v>
      </c>
      <c r="O158">
        <f>LEN(A158)</f>
        <v>11</v>
      </c>
    </row>
    <row r="159" spans="1:15" x14ac:dyDescent="0.25">
      <c r="A159" t="s">
        <v>128</v>
      </c>
      <c r="B159" t="s">
        <v>29</v>
      </c>
      <c r="C159">
        <v>2010</v>
      </c>
      <c r="D159">
        <v>6.6</v>
      </c>
      <c r="E159">
        <v>7.6</v>
      </c>
      <c r="F159">
        <v>127.76949999999999</v>
      </c>
      <c r="G159">
        <v>25.8</v>
      </c>
      <c r="H159">
        <v>74.3</v>
      </c>
      <c r="J159">
        <f>ROUND(F159,2)</f>
        <v>127.77</v>
      </c>
      <c r="K159">
        <f>SQRT(E159)</f>
        <v>2.7568097504180442</v>
      </c>
      <c r="L159" t="str">
        <f>LEFT(A159,3)</f>
        <v>Ser</v>
      </c>
      <c r="M159" t="str">
        <f>RIGHT(B159,3)</f>
        <v>ope</v>
      </c>
      <c r="N159">
        <f>RANK(G159,G:G,1)</f>
        <v>115</v>
      </c>
      <c r="O159">
        <f>LEN(A159)</f>
        <v>6</v>
      </c>
    </row>
    <row r="160" spans="1:15" x14ac:dyDescent="0.25">
      <c r="A160" t="s">
        <v>31</v>
      </c>
      <c r="B160" t="s">
        <v>17</v>
      </c>
      <c r="C160">
        <v>2001</v>
      </c>
      <c r="D160">
        <v>8.1999999999999993</v>
      </c>
      <c r="E160">
        <v>9.6</v>
      </c>
      <c r="F160">
        <v>185.7405</v>
      </c>
      <c r="G160">
        <v>26</v>
      </c>
      <c r="H160">
        <v>72.2</v>
      </c>
      <c r="J160">
        <f>ROUND(F160,2)</f>
        <v>185.74</v>
      </c>
      <c r="K160">
        <f>SQRT(E160)</f>
        <v>3.0983866769659336</v>
      </c>
      <c r="L160" t="str">
        <f>LEFT(A160,3)</f>
        <v>Hun</v>
      </c>
      <c r="M160" t="str">
        <f>RIGHT(B160,3)</f>
        <v>ion</v>
      </c>
      <c r="N160">
        <f>RANK(G160,G:G,1)</f>
        <v>132</v>
      </c>
      <c r="O160">
        <f>LEN(A160)</f>
        <v>7</v>
      </c>
    </row>
    <row r="161" spans="1:15" x14ac:dyDescent="0.25">
      <c r="A161" t="s">
        <v>114</v>
      </c>
      <c r="B161" t="s">
        <v>19</v>
      </c>
      <c r="C161">
        <v>2005</v>
      </c>
      <c r="D161">
        <v>7</v>
      </c>
      <c r="E161">
        <v>8.1999999999999993</v>
      </c>
      <c r="F161">
        <v>129.65450000000001</v>
      </c>
      <c r="G161">
        <v>24.5</v>
      </c>
      <c r="H161">
        <v>73.599999999999994</v>
      </c>
      <c r="J161">
        <f>ROUND(F161,2)</f>
        <v>129.65</v>
      </c>
      <c r="K161">
        <f>SQRT(E161)</f>
        <v>2.8635642126552705</v>
      </c>
      <c r="L161" t="str">
        <f>LEFT(A161,3)</f>
        <v>Mal</v>
      </c>
      <c r="M161" t="str">
        <f>RIGHT(B161,3)</f>
        <v>sia</v>
      </c>
      <c r="N161">
        <f>RANK(G161,G:G,1)</f>
        <v>75</v>
      </c>
      <c r="O161">
        <f>LEN(A161)</f>
        <v>8</v>
      </c>
    </row>
    <row r="162" spans="1:15" x14ac:dyDescent="0.25">
      <c r="A162" t="s">
        <v>132</v>
      </c>
      <c r="B162" t="s">
        <v>43</v>
      </c>
      <c r="C162">
        <v>2015</v>
      </c>
      <c r="D162">
        <v>39.6</v>
      </c>
      <c r="E162">
        <v>49.7</v>
      </c>
      <c r="F162">
        <v>248.595</v>
      </c>
      <c r="G162">
        <v>24.3</v>
      </c>
      <c r="H162">
        <v>67.3</v>
      </c>
      <c r="J162">
        <f>ROUND(F162,2)</f>
        <v>248.6</v>
      </c>
      <c r="K162">
        <f>SQRT(E162)</f>
        <v>7.0498226928058267</v>
      </c>
      <c r="L162" t="str">
        <f>LEFT(A162,3)</f>
        <v>Bot</v>
      </c>
      <c r="M162" t="str">
        <f>RIGHT(B162,3)</f>
        <v>ica</v>
      </c>
      <c r="N162">
        <f>RANK(G162,G:G,1)</f>
        <v>73</v>
      </c>
      <c r="O162">
        <f>LEN(A162)</f>
        <v>8</v>
      </c>
    </row>
    <row r="163" spans="1:15" x14ac:dyDescent="0.25">
      <c r="A163" t="s">
        <v>137</v>
      </c>
      <c r="B163" t="s">
        <v>43</v>
      </c>
      <c r="C163">
        <v>2005</v>
      </c>
      <c r="D163">
        <v>92.4</v>
      </c>
      <c r="E163">
        <v>166.9</v>
      </c>
      <c r="F163">
        <v>404.29</v>
      </c>
      <c r="G163">
        <v>21.3</v>
      </c>
      <c r="H163">
        <v>48.5</v>
      </c>
      <c r="J163">
        <f>ROUND(F163,2)</f>
        <v>404.29</v>
      </c>
      <c r="K163">
        <f>SQRT(E163)</f>
        <v>12.918978287774928</v>
      </c>
      <c r="L163" t="str">
        <f>LEFT(A163,3)</f>
        <v>Cha</v>
      </c>
      <c r="M163" t="str">
        <f>RIGHT(B163,3)</f>
        <v>ica</v>
      </c>
      <c r="N163">
        <f>RANK(G163,G:G,1)</f>
        <v>11</v>
      </c>
      <c r="O163">
        <f>LEN(A163)</f>
        <v>4</v>
      </c>
    </row>
    <row r="164" spans="1:15" x14ac:dyDescent="0.25">
      <c r="A164" t="s">
        <v>134</v>
      </c>
      <c r="B164" t="s">
        <v>43</v>
      </c>
      <c r="C164">
        <v>2002</v>
      </c>
      <c r="D164">
        <v>84.6</v>
      </c>
      <c r="E164">
        <v>145.5</v>
      </c>
      <c r="F164">
        <v>591.46749999999997</v>
      </c>
      <c r="G164">
        <v>21.9</v>
      </c>
      <c r="H164">
        <v>45.5</v>
      </c>
      <c r="J164">
        <f>ROUND(F164,2)</f>
        <v>591.47</v>
      </c>
      <c r="K164">
        <f>SQRT(E164)</f>
        <v>12.062338081814818</v>
      </c>
      <c r="L164" t="str">
        <f>LEFT(A164,3)</f>
        <v>Mal</v>
      </c>
      <c r="M164" t="str">
        <f>RIGHT(B164,3)</f>
        <v>ica</v>
      </c>
      <c r="N164">
        <f>RANK(G164,G:G,1)</f>
        <v>22</v>
      </c>
      <c r="O164">
        <f>LEN(A164)</f>
        <v>6</v>
      </c>
    </row>
    <row r="165" spans="1:15" x14ac:dyDescent="0.25">
      <c r="A165" t="s">
        <v>138</v>
      </c>
      <c r="B165" t="s">
        <v>43</v>
      </c>
      <c r="C165">
        <v>2012</v>
      </c>
      <c r="D165">
        <v>100.7</v>
      </c>
      <c r="E165">
        <v>147.30000000000001</v>
      </c>
      <c r="F165">
        <v>410.14299999999997</v>
      </c>
      <c r="G165">
        <v>22.6</v>
      </c>
      <c r="H165">
        <v>51</v>
      </c>
      <c r="J165">
        <f>ROUND(F165,2)</f>
        <v>410.14</v>
      </c>
      <c r="K165">
        <f>SQRT(E165)</f>
        <v>12.136721138759018</v>
      </c>
      <c r="L165" t="str">
        <f>LEFT(A165,3)</f>
        <v>Sie</v>
      </c>
      <c r="M165" t="str">
        <f>RIGHT(B165,3)</f>
        <v>ica</v>
      </c>
      <c r="N165">
        <f>RANK(G165,G:G,1)</f>
        <v>36</v>
      </c>
      <c r="O165">
        <f>LEN(A165)</f>
        <v>12</v>
      </c>
    </row>
    <row r="166" spans="1:15" x14ac:dyDescent="0.25">
      <c r="A166" t="s">
        <v>139</v>
      </c>
      <c r="B166" t="s">
        <v>43</v>
      </c>
      <c r="C166">
        <v>2005</v>
      </c>
      <c r="D166">
        <v>88.1</v>
      </c>
      <c r="E166">
        <v>156.4</v>
      </c>
      <c r="F166">
        <v>302.40249999999997</v>
      </c>
      <c r="G166">
        <v>22.1</v>
      </c>
      <c r="H166">
        <v>52.1</v>
      </c>
      <c r="J166">
        <f>ROUND(F166,2)</f>
        <v>302.39999999999998</v>
      </c>
      <c r="K166">
        <f>SQRT(E166)</f>
        <v>12.505998560690786</v>
      </c>
      <c r="L166" t="str">
        <f>LEFT(A166,3)</f>
        <v>Mal</v>
      </c>
      <c r="M166" t="str">
        <f>RIGHT(B166,3)</f>
        <v>ica</v>
      </c>
      <c r="N166">
        <f>RANK(G166,G:G,1)</f>
        <v>26</v>
      </c>
      <c r="O166">
        <f>LEN(A166)</f>
        <v>4</v>
      </c>
    </row>
    <row r="167" spans="1:15" x14ac:dyDescent="0.25">
      <c r="A167" t="s">
        <v>140</v>
      </c>
      <c r="B167" t="s">
        <v>19</v>
      </c>
      <c r="C167">
        <v>2007</v>
      </c>
      <c r="D167">
        <v>44.8</v>
      </c>
      <c r="E167">
        <v>57.8</v>
      </c>
      <c r="F167">
        <v>147.64099999999999</v>
      </c>
      <c r="G167">
        <v>20.8</v>
      </c>
      <c r="H167">
        <v>68.599999999999994</v>
      </c>
      <c r="J167">
        <f>ROUND(F167,2)</f>
        <v>147.63999999999999</v>
      </c>
      <c r="K167">
        <f>SQRT(E167)</f>
        <v>7.6026311234992852</v>
      </c>
      <c r="L167" t="str">
        <f>LEFT(A167,3)</f>
        <v>Ban</v>
      </c>
      <c r="M167" t="str">
        <f>RIGHT(B167,3)</f>
        <v>sia</v>
      </c>
      <c r="N167">
        <f>RANK(G167,G:G,1)</f>
        <v>3</v>
      </c>
      <c r="O167">
        <f>LEN(A167)</f>
        <v>10</v>
      </c>
    </row>
    <row r="168" spans="1:15" x14ac:dyDescent="0.25">
      <c r="A168" t="s">
        <v>141</v>
      </c>
      <c r="B168" t="s">
        <v>17</v>
      </c>
      <c r="C168">
        <v>2015</v>
      </c>
      <c r="D168">
        <v>4.3</v>
      </c>
      <c r="E168">
        <v>5</v>
      </c>
      <c r="F168">
        <v>160.23699999999999</v>
      </c>
      <c r="G168">
        <v>26.6</v>
      </c>
      <c r="H168">
        <v>74.5</v>
      </c>
      <c r="J168">
        <f>ROUND(F168,2)</f>
        <v>160.24</v>
      </c>
      <c r="K168">
        <f>SQRT(E168)</f>
        <v>2.2360679774997898</v>
      </c>
      <c r="L168" t="str">
        <f>LEFT(A168,3)</f>
        <v>Lat</v>
      </c>
      <c r="M168" t="str">
        <f>RIGHT(B168,3)</f>
        <v>ion</v>
      </c>
      <c r="N168">
        <f>RANK(G168,G:G,1)</f>
        <v>165</v>
      </c>
      <c r="O168">
        <f>LEN(A168)</f>
        <v>6</v>
      </c>
    </row>
    <row r="169" spans="1:15" x14ac:dyDescent="0.25">
      <c r="A169" t="s">
        <v>142</v>
      </c>
      <c r="B169" t="s">
        <v>43</v>
      </c>
      <c r="C169">
        <v>2002</v>
      </c>
      <c r="D169">
        <v>114.5</v>
      </c>
      <c r="E169">
        <v>191.5</v>
      </c>
      <c r="F169">
        <v>350.82749999999999</v>
      </c>
      <c r="G169">
        <v>21.9</v>
      </c>
      <c r="H169">
        <v>47.7</v>
      </c>
      <c r="J169">
        <f>ROUND(F169,2)</f>
        <v>350.83</v>
      </c>
      <c r="K169">
        <f>SQRT(E169)</f>
        <v>13.838352503098047</v>
      </c>
      <c r="L169" t="str">
        <f>LEFT(A169,3)</f>
        <v>Ang</v>
      </c>
      <c r="M169" t="str">
        <f>RIGHT(B169,3)</f>
        <v>ica</v>
      </c>
      <c r="N169">
        <f>RANK(G169,G:G,1)</f>
        <v>22</v>
      </c>
      <c r="O169">
        <f>LEN(A169)</f>
        <v>6</v>
      </c>
    </row>
    <row r="170" spans="1:15" x14ac:dyDescent="0.25">
      <c r="A170" t="s">
        <v>143</v>
      </c>
      <c r="B170" t="s">
        <v>26</v>
      </c>
      <c r="C170">
        <v>2003</v>
      </c>
      <c r="D170">
        <v>17.600000000000001</v>
      </c>
      <c r="E170">
        <v>20.7</v>
      </c>
      <c r="F170">
        <v>162.465</v>
      </c>
      <c r="G170">
        <v>25.9</v>
      </c>
      <c r="H170">
        <v>74.099999999999994</v>
      </c>
      <c r="J170">
        <f>ROUND(F170,2)</f>
        <v>162.47</v>
      </c>
      <c r="K170">
        <f>SQRT(E170)</f>
        <v>4.5497252664309302</v>
      </c>
      <c r="L170" t="str">
        <f>LEFT(A170,3)</f>
        <v>Jam</v>
      </c>
      <c r="M170" t="str">
        <f>RIGHT(B170,3)</f>
        <v>ean</v>
      </c>
      <c r="N170">
        <f>RANK(G170,G:G,1)</f>
        <v>126</v>
      </c>
      <c r="O170">
        <f>LEN(A170)</f>
        <v>7</v>
      </c>
    </row>
    <row r="171" spans="1:15" x14ac:dyDescent="0.25">
      <c r="A171" t="s">
        <v>122</v>
      </c>
      <c r="B171" t="s">
        <v>43</v>
      </c>
      <c r="C171">
        <v>2005</v>
      </c>
      <c r="D171">
        <v>61.9</v>
      </c>
      <c r="E171">
        <v>106.2</v>
      </c>
      <c r="F171">
        <v>521.08500000000004</v>
      </c>
      <c r="G171">
        <v>21.8</v>
      </c>
      <c r="H171">
        <v>48.5</v>
      </c>
      <c r="J171">
        <f>ROUND(F171,2)</f>
        <v>521.09</v>
      </c>
      <c r="K171">
        <f>SQRT(E171)</f>
        <v>10.305338422390601</v>
      </c>
      <c r="L171" t="str">
        <f>LEFT(A171,3)</f>
        <v>Zam</v>
      </c>
      <c r="M171" t="str">
        <f>RIGHT(B171,3)</f>
        <v>ica</v>
      </c>
      <c r="N171">
        <f>RANK(G171,G:G,1)</f>
        <v>20</v>
      </c>
      <c r="O171">
        <f>LEN(A171)</f>
        <v>6</v>
      </c>
    </row>
    <row r="172" spans="1:15" x14ac:dyDescent="0.25">
      <c r="A172" t="s">
        <v>69</v>
      </c>
      <c r="B172" t="s">
        <v>19</v>
      </c>
      <c r="C172">
        <v>2002</v>
      </c>
      <c r="D172">
        <v>38.799999999999997</v>
      </c>
      <c r="E172">
        <v>45.2</v>
      </c>
      <c r="F172">
        <v>223.71799999999999</v>
      </c>
      <c r="G172">
        <v>24.9</v>
      </c>
      <c r="H172">
        <v>68.2</v>
      </c>
      <c r="J172">
        <f>ROUND(F172,2)</f>
        <v>223.72</v>
      </c>
      <c r="K172">
        <f>SQRT(E172)</f>
        <v>6.7230945255886443</v>
      </c>
      <c r="L172" t="str">
        <f>LEFT(A172,3)</f>
        <v>Kyr</v>
      </c>
      <c r="M172" t="str">
        <f>RIGHT(B172,3)</f>
        <v>sia</v>
      </c>
      <c r="N172">
        <f>RANK(G172,G:G,1)</f>
        <v>82</v>
      </c>
      <c r="O172">
        <f>LEN(A172)</f>
        <v>15</v>
      </c>
    </row>
    <row r="173" spans="1:15" x14ac:dyDescent="0.25">
      <c r="A173" t="s">
        <v>54</v>
      </c>
      <c r="B173" t="s">
        <v>43</v>
      </c>
      <c r="C173">
        <v>2000</v>
      </c>
      <c r="D173">
        <v>51.9</v>
      </c>
      <c r="E173">
        <v>95.5</v>
      </c>
      <c r="F173">
        <v>687.99300000000005</v>
      </c>
      <c r="G173">
        <v>23.3</v>
      </c>
      <c r="H173">
        <v>44.6</v>
      </c>
      <c r="J173">
        <f>ROUND(F173,2)</f>
        <v>687.99</v>
      </c>
      <c r="K173">
        <f>SQRT(E173)</f>
        <v>9.7724101428460326</v>
      </c>
      <c r="L173" t="str">
        <f>LEFT(A173,3)</f>
        <v>Zim</v>
      </c>
      <c r="M173" t="str">
        <f>RIGHT(B173,3)</f>
        <v>ica</v>
      </c>
      <c r="N173">
        <f>RANK(G173,G:G,1)</f>
        <v>51</v>
      </c>
      <c r="O173">
        <f>LEN(A173)</f>
        <v>8</v>
      </c>
    </row>
    <row r="174" spans="1:15" x14ac:dyDescent="0.25">
      <c r="A174" t="s">
        <v>144</v>
      </c>
      <c r="B174" t="s">
        <v>19</v>
      </c>
      <c r="C174">
        <v>2003</v>
      </c>
      <c r="D174">
        <v>23.4</v>
      </c>
      <c r="E174">
        <v>28.8</v>
      </c>
      <c r="F174">
        <v>105.496</v>
      </c>
      <c r="G174">
        <v>22.6</v>
      </c>
      <c r="H174">
        <v>72.400000000000006</v>
      </c>
      <c r="J174">
        <f>ROUND(F174,2)</f>
        <v>105.5</v>
      </c>
      <c r="K174">
        <f>SQRT(E174)</f>
        <v>5.3665631459994954</v>
      </c>
      <c r="L174" t="str">
        <f>LEFT(A174,3)</f>
        <v>Chi</v>
      </c>
      <c r="M174" t="str">
        <f>RIGHT(B174,3)</f>
        <v>sia</v>
      </c>
      <c r="N174">
        <f>RANK(G174,G:G,1)</f>
        <v>36</v>
      </c>
      <c r="O174">
        <f>LEN(A174)</f>
        <v>5</v>
      </c>
    </row>
    <row r="175" spans="1:15" x14ac:dyDescent="0.25">
      <c r="A175" t="s">
        <v>84</v>
      </c>
      <c r="B175" t="s">
        <v>19</v>
      </c>
      <c r="C175">
        <v>2015</v>
      </c>
      <c r="D175">
        <v>29.2</v>
      </c>
      <c r="E175">
        <v>35.5</v>
      </c>
      <c r="F175">
        <v>154.60400000000001</v>
      </c>
      <c r="G175">
        <v>22.4</v>
      </c>
      <c r="H175">
        <v>69.5</v>
      </c>
      <c r="J175">
        <f>ROUND(F175,2)</f>
        <v>154.6</v>
      </c>
      <c r="K175">
        <f>SQRT(E175)</f>
        <v>5.9581876439064922</v>
      </c>
      <c r="L175" t="str">
        <f>LEFT(A175,3)</f>
        <v>Nep</v>
      </c>
      <c r="M175" t="str">
        <f>RIGHT(B175,3)</f>
        <v>sia</v>
      </c>
      <c r="N175">
        <f>RANK(G175,G:G,1)</f>
        <v>30</v>
      </c>
      <c r="O175">
        <f>LEN(A175)</f>
        <v>5</v>
      </c>
    </row>
    <row r="176" spans="1:15" x14ac:dyDescent="0.25">
      <c r="A176" t="s">
        <v>137</v>
      </c>
      <c r="B176" t="s">
        <v>43</v>
      </c>
      <c r="C176">
        <v>2004</v>
      </c>
      <c r="D176">
        <v>93.9</v>
      </c>
      <c r="E176">
        <v>170.4</v>
      </c>
      <c r="F176">
        <v>407.20699999999999</v>
      </c>
      <c r="G176">
        <v>21.2</v>
      </c>
      <c r="H176">
        <v>48.3</v>
      </c>
      <c r="J176">
        <f>ROUND(F176,2)</f>
        <v>407.21</v>
      </c>
      <c r="K176">
        <f>SQRT(E176)</f>
        <v>13.053735097664577</v>
      </c>
      <c r="L176" t="str">
        <f>LEFT(A176,3)</f>
        <v>Cha</v>
      </c>
      <c r="M176" t="str">
        <f>RIGHT(B176,3)</f>
        <v>ica</v>
      </c>
      <c r="N176">
        <f>RANK(G176,G:G,1)</f>
        <v>8</v>
      </c>
      <c r="O176">
        <f>LEN(A176)</f>
        <v>4</v>
      </c>
    </row>
    <row r="177" spans="1:15" x14ac:dyDescent="0.25">
      <c r="A177" t="s">
        <v>87</v>
      </c>
      <c r="B177" t="s">
        <v>19</v>
      </c>
      <c r="C177">
        <v>2014</v>
      </c>
      <c r="D177">
        <v>55.2</v>
      </c>
      <c r="E177">
        <v>73.599999999999994</v>
      </c>
      <c r="F177">
        <v>231.97800000000001</v>
      </c>
      <c r="G177">
        <v>23.2</v>
      </c>
      <c r="H177">
        <v>63</v>
      </c>
      <c r="J177">
        <f>ROUND(F177,2)</f>
        <v>231.98</v>
      </c>
      <c r="K177">
        <f>SQRT(E177)</f>
        <v>8.5790442358108869</v>
      </c>
      <c r="L177" t="str">
        <f>LEFT(A177,3)</f>
        <v>Afg</v>
      </c>
      <c r="M177" t="str">
        <f>RIGHT(B177,3)</f>
        <v>sia</v>
      </c>
      <c r="N177">
        <f>RANK(G177,G:G,1)</f>
        <v>50</v>
      </c>
      <c r="O177">
        <f>LEN(A177)</f>
        <v>11</v>
      </c>
    </row>
    <row r="178" spans="1:15" x14ac:dyDescent="0.25">
      <c r="A178" t="s">
        <v>130</v>
      </c>
      <c r="B178" t="s">
        <v>26</v>
      </c>
      <c r="C178">
        <v>2001</v>
      </c>
      <c r="D178">
        <v>6.8</v>
      </c>
      <c r="E178">
        <v>8.5</v>
      </c>
      <c r="F178">
        <v>109.75749999999999</v>
      </c>
      <c r="G178">
        <v>24.6</v>
      </c>
      <c r="H178">
        <v>76.900000000000006</v>
      </c>
      <c r="J178">
        <f>ROUND(F178,2)</f>
        <v>109.76</v>
      </c>
      <c r="K178">
        <f>SQRT(E178)</f>
        <v>2.9154759474226504</v>
      </c>
      <c r="L178" t="str">
        <f>LEFT(A178,3)</f>
        <v>Cub</v>
      </c>
      <c r="M178" t="str">
        <f>RIGHT(B178,3)</f>
        <v>ean</v>
      </c>
      <c r="N178">
        <f>RANK(G178,G:G,1)</f>
        <v>76</v>
      </c>
      <c r="O178">
        <f>LEN(A178)</f>
        <v>4</v>
      </c>
    </row>
    <row r="179" spans="1:15" x14ac:dyDescent="0.25">
      <c r="A179" t="s">
        <v>145</v>
      </c>
      <c r="B179" t="s">
        <v>43</v>
      </c>
      <c r="C179">
        <v>2014</v>
      </c>
      <c r="D179">
        <v>41.9</v>
      </c>
      <c r="E179">
        <v>59.9</v>
      </c>
      <c r="F179">
        <v>255.4665</v>
      </c>
      <c r="G179">
        <v>23.1</v>
      </c>
      <c r="H179">
        <v>62.3</v>
      </c>
      <c r="J179">
        <f>ROUND(F179,2)</f>
        <v>255.47</v>
      </c>
      <c r="K179">
        <f>SQRT(E179)</f>
        <v>7.7395090283557391</v>
      </c>
      <c r="L179" t="str">
        <f>LEFT(A179,3)</f>
        <v>Tan</v>
      </c>
      <c r="M179" t="str">
        <f>RIGHT(B179,3)</f>
        <v>ica</v>
      </c>
      <c r="N179">
        <f>RANK(G179,G:G,1)</f>
        <v>49</v>
      </c>
      <c r="O179">
        <f>LEN(A179)</f>
        <v>8</v>
      </c>
    </row>
    <row r="180" spans="1:15" x14ac:dyDescent="0.25">
      <c r="A180" t="s">
        <v>146</v>
      </c>
      <c r="B180" t="s">
        <v>21</v>
      </c>
      <c r="C180">
        <v>2013</v>
      </c>
      <c r="D180">
        <v>14.3</v>
      </c>
      <c r="E180">
        <v>16.600000000000001</v>
      </c>
      <c r="F180">
        <v>127.577</v>
      </c>
      <c r="G180">
        <v>26.9</v>
      </c>
      <c r="H180">
        <v>75.7</v>
      </c>
      <c r="J180">
        <f>ROUND(F180,2)</f>
        <v>127.58</v>
      </c>
      <c r="K180">
        <f>SQRT(E180)</f>
        <v>4.0743097574926725</v>
      </c>
      <c r="L180" t="str">
        <f>LEFT(A180,3)</f>
        <v>Ecu</v>
      </c>
      <c r="M180" t="str">
        <f>RIGHT(B180,3)</f>
        <v>ica</v>
      </c>
      <c r="N180">
        <f>RANK(G180,G:G,1)</f>
        <v>172</v>
      </c>
      <c r="O180">
        <f>LEN(A180)</f>
        <v>7</v>
      </c>
    </row>
    <row r="181" spans="1:15" x14ac:dyDescent="0.25">
      <c r="A181" t="s">
        <v>147</v>
      </c>
      <c r="B181" t="s">
        <v>43</v>
      </c>
      <c r="C181">
        <v>2011</v>
      </c>
      <c r="D181">
        <v>60.9</v>
      </c>
      <c r="E181">
        <v>74.400000000000006</v>
      </c>
      <c r="F181">
        <v>265.32799999999997</v>
      </c>
      <c r="G181">
        <v>23.9</v>
      </c>
      <c r="H181">
        <v>60.7</v>
      </c>
      <c r="J181">
        <f>ROUND(F181,2)</f>
        <v>265.33</v>
      </c>
      <c r="K181">
        <f>SQRT(E181)</f>
        <v>8.6255434611391308</v>
      </c>
      <c r="L181" t="str">
        <f>LEFT(A181,3)</f>
        <v>Dji</v>
      </c>
      <c r="M181" t="str">
        <f>RIGHT(B181,3)</f>
        <v>ica</v>
      </c>
      <c r="N181">
        <f>RANK(G181,G:G,1)</f>
        <v>67</v>
      </c>
      <c r="O181">
        <f>LEN(A181)</f>
        <v>8</v>
      </c>
    </row>
    <row r="182" spans="1:15" x14ac:dyDescent="0.25">
      <c r="A182" t="s">
        <v>121</v>
      </c>
      <c r="B182" t="s">
        <v>17</v>
      </c>
      <c r="C182">
        <v>2003</v>
      </c>
      <c r="D182">
        <v>3.9</v>
      </c>
      <c r="E182">
        <v>4.7</v>
      </c>
      <c r="F182">
        <v>117.617</v>
      </c>
      <c r="G182">
        <v>25.6</v>
      </c>
      <c r="H182">
        <v>76.900000000000006</v>
      </c>
      <c r="J182">
        <f>ROUND(F182,2)</f>
        <v>117.62</v>
      </c>
      <c r="K182">
        <f>SQRT(E182)</f>
        <v>2.16794833886788</v>
      </c>
      <c r="L182" t="str">
        <f>LEFT(A182,3)</f>
        <v>Slo</v>
      </c>
      <c r="M182" t="str">
        <f>RIGHT(B182,3)</f>
        <v>ion</v>
      </c>
      <c r="N182">
        <f>RANK(G182,G:G,1)</f>
        <v>106</v>
      </c>
      <c r="O182">
        <f>LEN(A182)</f>
        <v>8</v>
      </c>
    </row>
    <row r="183" spans="1:15" x14ac:dyDescent="0.25">
      <c r="A183" t="s">
        <v>70</v>
      </c>
      <c r="B183" t="s">
        <v>26</v>
      </c>
      <c r="C183">
        <v>2004</v>
      </c>
      <c r="D183">
        <v>12.5</v>
      </c>
      <c r="E183">
        <v>14.7</v>
      </c>
      <c r="F183">
        <v>168.87700000000001</v>
      </c>
      <c r="G183">
        <v>25.8</v>
      </c>
      <c r="H183">
        <v>73.099999999999994</v>
      </c>
      <c r="J183">
        <f>ROUND(F183,2)</f>
        <v>168.88</v>
      </c>
      <c r="K183">
        <f>SQRT(E183)</f>
        <v>3.8340579025361627</v>
      </c>
      <c r="L183" t="str">
        <f>LEFT(A183,3)</f>
        <v>Gre</v>
      </c>
      <c r="M183" t="str">
        <f>RIGHT(B183,3)</f>
        <v>ean</v>
      </c>
      <c r="N183">
        <f>RANK(G183,G:G,1)</f>
        <v>115</v>
      </c>
      <c r="O183">
        <f>LEN(A183)</f>
        <v>7</v>
      </c>
    </row>
    <row r="184" spans="1:15" x14ac:dyDescent="0.25">
      <c r="A184" t="s">
        <v>100</v>
      </c>
      <c r="B184" t="s">
        <v>43</v>
      </c>
      <c r="C184">
        <v>2015</v>
      </c>
      <c r="D184">
        <v>73</v>
      </c>
      <c r="E184">
        <v>95.9</v>
      </c>
      <c r="F184">
        <v>260.02350000000001</v>
      </c>
      <c r="G184">
        <v>21.9</v>
      </c>
      <c r="H184">
        <v>59.3</v>
      </c>
      <c r="J184">
        <f>ROUND(F184,2)</f>
        <v>260.02</v>
      </c>
      <c r="K184">
        <f>SQRT(E184)</f>
        <v>9.7928545378760727</v>
      </c>
      <c r="L184" t="str">
        <f>LEFT(A184,3)</f>
        <v>Con</v>
      </c>
      <c r="M184" t="str">
        <f>RIGHT(B184,3)</f>
        <v>ica</v>
      </c>
      <c r="N184">
        <f>RANK(G184,G:G,1)</f>
        <v>22</v>
      </c>
      <c r="O184">
        <f>LEN(A184)</f>
        <v>16</v>
      </c>
    </row>
    <row r="185" spans="1:15" x14ac:dyDescent="0.25">
      <c r="A185" t="s">
        <v>130</v>
      </c>
      <c r="B185" t="s">
        <v>26</v>
      </c>
      <c r="C185">
        <v>2002</v>
      </c>
      <c r="D185">
        <v>6.5</v>
      </c>
      <c r="E185">
        <v>8.1999999999999993</v>
      </c>
      <c r="F185">
        <v>108.1925</v>
      </c>
      <c r="G185">
        <v>24.7</v>
      </c>
      <c r="H185">
        <v>77.099999999999994</v>
      </c>
      <c r="J185">
        <f>ROUND(F185,2)</f>
        <v>108.19</v>
      </c>
      <c r="K185">
        <f>SQRT(E185)</f>
        <v>2.8635642126552705</v>
      </c>
      <c r="L185" t="str">
        <f>LEFT(A185,3)</f>
        <v>Cub</v>
      </c>
      <c r="M185" t="str">
        <f>RIGHT(B185,3)</f>
        <v>ean</v>
      </c>
      <c r="N185">
        <f>RANK(G185,G:G,1)</f>
        <v>78</v>
      </c>
      <c r="O185">
        <f>LEN(A185)</f>
        <v>4</v>
      </c>
    </row>
    <row r="186" spans="1:15" x14ac:dyDescent="0.25">
      <c r="A186" t="s">
        <v>97</v>
      </c>
      <c r="B186" t="s">
        <v>19</v>
      </c>
      <c r="C186">
        <v>2013</v>
      </c>
      <c r="D186">
        <v>9.6999999999999993</v>
      </c>
      <c r="E186">
        <v>11.3</v>
      </c>
      <c r="F186">
        <v>72.345500000000001</v>
      </c>
      <c r="G186">
        <v>25</v>
      </c>
      <c r="H186">
        <v>77</v>
      </c>
      <c r="J186">
        <f>ROUND(F186,2)</f>
        <v>72.349999999999994</v>
      </c>
      <c r="K186">
        <f>SQRT(E186)</f>
        <v>3.3615472627943221</v>
      </c>
      <c r="L186" t="str">
        <f>LEFT(A186,3)</f>
        <v>Mal</v>
      </c>
      <c r="M186" t="str">
        <f>RIGHT(B186,3)</f>
        <v>sia</v>
      </c>
      <c r="N186">
        <f>RANK(G186,G:G,1)</f>
        <v>85</v>
      </c>
      <c r="O186">
        <f>LEN(A186)</f>
        <v>8</v>
      </c>
    </row>
    <row r="187" spans="1:15" x14ac:dyDescent="0.25">
      <c r="A187" t="s">
        <v>148</v>
      </c>
      <c r="B187" t="s">
        <v>43</v>
      </c>
      <c r="C187">
        <v>2004</v>
      </c>
      <c r="D187">
        <v>87.5</v>
      </c>
      <c r="E187">
        <v>129.5</v>
      </c>
      <c r="F187">
        <v>453.54750000000001</v>
      </c>
      <c r="G187">
        <v>23</v>
      </c>
      <c r="H187">
        <v>49.8</v>
      </c>
      <c r="J187">
        <f>ROUND(F187,2)</f>
        <v>453.55</v>
      </c>
      <c r="K187">
        <f>SQRT(E187)</f>
        <v>11.379806676741042</v>
      </c>
      <c r="L187" t="str">
        <f>LEFT(A187,3)</f>
        <v>Cot</v>
      </c>
      <c r="M187" t="str">
        <f>RIGHT(B187,3)</f>
        <v>ica</v>
      </c>
      <c r="N187">
        <f>RANK(G187,G:G,1)</f>
        <v>46</v>
      </c>
      <c r="O187">
        <f>LEN(A187)</f>
        <v>13</v>
      </c>
    </row>
    <row r="188" spans="1:15" x14ac:dyDescent="0.25">
      <c r="A188" t="s">
        <v>103</v>
      </c>
      <c r="B188" t="s">
        <v>43</v>
      </c>
      <c r="C188">
        <v>2001</v>
      </c>
      <c r="D188">
        <v>106.8</v>
      </c>
      <c r="E188">
        <v>177.3</v>
      </c>
      <c r="F188">
        <v>408.98349999999999</v>
      </c>
      <c r="G188">
        <v>22.4</v>
      </c>
      <c r="H188">
        <v>46.5</v>
      </c>
      <c r="J188">
        <f>ROUND(F188,2)</f>
        <v>408.98</v>
      </c>
      <c r="K188">
        <f>SQRT(E188)</f>
        <v>13.315404612703288</v>
      </c>
      <c r="L188" t="str">
        <f>LEFT(A188,3)</f>
        <v>Nig</v>
      </c>
      <c r="M188" t="str">
        <f>RIGHT(B188,3)</f>
        <v>ica</v>
      </c>
      <c r="N188">
        <f>RANK(G188,G:G,1)</f>
        <v>30</v>
      </c>
      <c r="O188">
        <f>LEN(A188)</f>
        <v>7</v>
      </c>
    </row>
    <row r="189" spans="1:15" x14ac:dyDescent="0.25">
      <c r="A189" t="s">
        <v>149</v>
      </c>
      <c r="B189" t="s">
        <v>26</v>
      </c>
      <c r="C189">
        <v>2008</v>
      </c>
      <c r="D189">
        <v>22</v>
      </c>
      <c r="E189">
        <v>26.1</v>
      </c>
      <c r="F189">
        <v>166.18450000000001</v>
      </c>
      <c r="G189">
        <v>26.5</v>
      </c>
      <c r="H189">
        <v>71.900000000000006</v>
      </c>
      <c r="J189">
        <f>ROUND(F189,2)</f>
        <v>166.18</v>
      </c>
      <c r="K189">
        <f>SQRT(E189)</f>
        <v>5.1088159097779204</v>
      </c>
      <c r="L189" t="str">
        <f>LEFT(A189,3)</f>
        <v>Nic</v>
      </c>
      <c r="M189" t="str">
        <f>RIGHT(B189,3)</f>
        <v>ean</v>
      </c>
      <c r="N189">
        <f>RANK(G189,G:G,1)</f>
        <v>160</v>
      </c>
      <c r="O189">
        <f>LEN(A189)</f>
        <v>9</v>
      </c>
    </row>
    <row r="190" spans="1:15" x14ac:dyDescent="0.25">
      <c r="A190" t="s">
        <v>70</v>
      </c>
      <c r="B190" t="s">
        <v>26</v>
      </c>
      <c r="C190">
        <v>2006</v>
      </c>
      <c r="D190">
        <v>12.5</v>
      </c>
      <c r="E190">
        <v>14.6</v>
      </c>
      <c r="F190">
        <v>163.5385</v>
      </c>
      <c r="G190">
        <v>26</v>
      </c>
      <c r="H190">
        <v>73.099999999999994</v>
      </c>
      <c r="J190">
        <f>ROUND(F190,2)</f>
        <v>163.54</v>
      </c>
      <c r="K190">
        <f>SQRT(E190)</f>
        <v>3.8209946349085602</v>
      </c>
      <c r="L190" t="str">
        <f>LEFT(A190,3)</f>
        <v>Gre</v>
      </c>
      <c r="M190" t="str">
        <f>RIGHT(B190,3)</f>
        <v>ean</v>
      </c>
      <c r="N190">
        <f>RANK(G190,G:G,1)</f>
        <v>132</v>
      </c>
      <c r="O190">
        <f>LEN(A190)</f>
        <v>7</v>
      </c>
    </row>
    <row r="191" spans="1:15" x14ac:dyDescent="0.25">
      <c r="A191" t="s">
        <v>150</v>
      </c>
      <c r="B191" t="s">
        <v>15</v>
      </c>
      <c r="C191">
        <v>2007</v>
      </c>
      <c r="D191">
        <v>31.1</v>
      </c>
      <c r="E191">
        <v>38.1</v>
      </c>
      <c r="F191">
        <v>187.6105</v>
      </c>
      <c r="G191">
        <v>27.7</v>
      </c>
      <c r="H191">
        <v>68.099999999999994</v>
      </c>
      <c r="J191">
        <f>ROUND(F191,2)</f>
        <v>187.61</v>
      </c>
      <c r="K191">
        <f>SQRT(E191)</f>
        <v>6.1725197448043856</v>
      </c>
      <c r="L191" t="str">
        <f>LEFT(A191,3)</f>
        <v>Ira</v>
      </c>
      <c r="M191" t="str">
        <f>RIGHT(B191,3)</f>
        <v>ast</v>
      </c>
      <c r="N191">
        <f>RANK(G191,G:G,1)</f>
        <v>182</v>
      </c>
      <c r="O191">
        <f>LEN(A191)</f>
        <v>4</v>
      </c>
    </row>
    <row r="192" spans="1:15" x14ac:dyDescent="0.25">
      <c r="A192" t="s">
        <v>151</v>
      </c>
      <c r="B192" t="s">
        <v>19</v>
      </c>
      <c r="C192">
        <v>2007</v>
      </c>
      <c r="D192">
        <v>54.1</v>
      </c>
      <c r="E192">
        <v>71.8</v>
      </c>
      <c r="F192">
        <v>219.93049999999999</v>
      </c>
      <c r="G192">
        <v>21.8</v>
      </c>
      <c r="H192">
        <v>62.3</v>
      </c>
      <c r="J192">
        <f>ROUND(F192,2)</f>
        <v>219.93</v>
      </c>
      <c r="K192">
        <f>SQRT(E192)</f>
        <v>8.4734880657259435</v>
      </c>
      <c r="L192" t="str">
        <f>LEFT(A192,3)</f>
        <v>Mya</v>
      </c>
      <c r="M192" t="str">
        <f>RIGHT(B192,3)</f>
        <v>sia</v>
      </c>
      <c r="N192">
        <f>RANK(G192,G:G,1)</f>
        <v>20</v>
      </c>
      <c r="O192">
        <f>LEN(A192)</f>
        <v>7</v>
      </c>
    </row>
    <row r="193" spans="1:15" x14ac:dyDescent="0.25">
      <c r="A193" t="s">
        <v>90</v>
      </c>
      <c r="B193" t="s">
        <v>26</v>
      </c>
      <c r="C193">
        <v>2007</v>
      </c>
      <c r="D193">
        <v>18.5</v>
      </c>
      <c r="E193">
        <v>21.7</v>
      </c>
      <c r="F193">
        <v>125.1955</v>
      </c>
      <c r="G193">
        <v>26.2</v>
      </c>
      <c r="H193">
        <v>76.2</v>
      </c>
      <c r="J193">
        <f>ROUND(F193,2)</f>
        <v>125.2</v>
      </c>
      <c r="K193">
        <f>SQRT(E193)</f>
        <v>4.658325879540846</v>
      </c>
      <c r="L193" t="str">
        <f>LEFT(A193,3)</f>
        <v>Pan</v>
      </c>
      <c r="M193" t="str">
        <f>RIGHT(B193,3)</f>
        <v>ean</v>
      </c>
      <c r="N193">
        <f>RANK(G193,G:G,1)</f>
        <v>145</v>
      </c>
      <c r="O193">
        <f>LEN(A193)</f>
        <v>6</v>
      </c>
    </row>
    <row r="194" spans="1:15" x14ac:dyDescent="0.25">
      <c r="A194" t="s">
        <v>152</v>
      </c>
      <c r="B194" t="s">
        <v>15</v>
      </c>
      <c r="C194">
        <v>2011</v>
      </c>
      <c r="D194">
        <v>7</v>
      </c>
      <c r="E194">
        <v>8.1999999999999993</v>
      </c>
      <c r="F194">
        <v>70.325500000000005</v>
      </c>
      <c r="G194">
        <v>25</v>
      </c>
      <c r="H194">
        <v>76.2</v>
      </c>
      <c r="J194">
        <f>ROUND(F194,2)</f>
        <v>70.33</v>
      </c>
      <c r="K194">
        <f>SQRT(E194)</f>
        <v>2.8635642126552705</v>
      </c>
      <c r="L194" t="str">
        <f>LEFT(A194,3)</f>
        <v>Bah</v>
      </c>
      <c r="M194" t="str">
        <f>RIGHT(B194,3)</f>
        <v>ast</v>
      </c>
      <c r="N194">
        <f>RANK(G194,G:G,1)</f>
        <v>85</v>
      </c>
      <c r="O194">
        <f>LEN(A194)</f>
        <v>7</v>
      </c>
    </row>
    <row r="195" spans="1:15" x14ac:dyDescent="0.25">
      <c r="A195" t="s">
        <v>147</v>
      </c>
      <c r="B195" t="s">
        <v>43</v>
      </c>
      <c r="C195">
        <v>2001</v>
      </c>
      <c r="D195">
        <v>78.2</v>
      </c>
      <c r="E195">
        <v>98.6</v>
      </c>
      <c r="F195">
        <v>321.30149999999998</v>
      </c>
      <c r="G195">
        <v>23.6</v>
      </c>
      <c r="H195">
        <v>57.1</v>
      </c>
      <c r="J195">
        <f>ROUND(F195,2)</f>
        <v>321.3</v>
      </c>
      <c r="K195">
        <f>SQRT(E195)</f>
        <v>9.9297532698451274</v>
      </c>
      <c r="L195" t="str">
        <f>LEFT(A195,3)</f>
        <v>Dji</v>
      </c>
      <c r="M195" t="str">
        <f>RIGHT(B195,3)</f>
        <v>ica</v>
      </c>
      <c r="N195">
        <f>RANK(G195,G:G,1)</f>
        <v>61</v>
      </c>
      <c r="O195">
        <f>LEN(A195)</f>
        <v>8</v>
      </c>
    </row>
    <row r="196" spans="1:15" x14ac:dyDescent="0.25">
      <c r="A196" t="s">
        <v>44</v>
      </c>
      <c r="B196" t="s">
        <v>19</v>
      </c>
      <c r="C196">
        <v>2004</v>
      </c>
      <c r="D196">
        <v>2.8</v>
      </c>
      <c r="E196">
        <v>3.9</v>
      </c>
      <c r="F196">
        <v>68.9285</v>
      </c>
      <c r="G196">
        <v>22.6</v>
      </c>
      <c r="H196">
        <v>82</v>
      </c>
      <c r="J196">
        <f>ROUND(F196,2)</f>
        <v>68.930000000000007</v>
      </c>
      <c r="K196">
        <f>SQRT(E196)</f>
        <v>1.9748417658131499</v>
      </c>
      <c r="L196" t="str">
        <f>LEFT(A196,3)</f>
        <v>Jap</v>
      </c>
      <c r="M196" t="str">
        <f>RIGHT(B196,3)</f>
        <v>sia</v>
      </c>
      <c r="N196">
        <f>RANK(G196,G:G,1)</f>
        <v>36</v>
      </c>
      <c r="O196">
        <f>LEN(A196)</f>
        <v>5</v>
      </c>
    </row>
    <row r="197" spans="1:15" x14ac:dyDescent="0.25">
      <c r="A197" t="s">
        <v>101</v>
      </c>
      <c r="B197" t="s">
        <v>43</v>
      </c>
      <c r="C197">
        <v>2004</v>
      </c>
      <c r="D197">
        <v>42.7</v>
      </c>
      <c r="E197">
        <v>74.400000000000006</v>
      </c>
      <c r="F197">
        <v>496.83600000000001</v>
      </c>
      <c r="G197">
        <v>23.3</v>
      </c>
      <c r="H197">
        <v>50.6</v>
      </c>
      <c r="J197">
        <f>ROUND(F197,2)</f>
        <v>496.84</v>
      </c>
      <c r="K197">
        <f>SQRT(E197)</f>
        <v>8.6255434611391308</v>
      </c>
      <c r="L197" t="str">
        <f>LEFT(A197,3)</f>
        <v>Nam</v>
      </c>
      <c r="M197" t="str">
        <f>RIGHT(B197,3)</f>
        <v>ica</v>
      </c>
      <c r="N197">
        <f>RANK(G197,G:G,1)</f>
        <v>51</v>
      </c>
      <c r="O197">
        <f>LEN(A197)</f>
        <v>7</v>
      </c>
    </row>
    <row r="198" spans="1:15" x14ac:dyDescent="0.25">
      <c r="A198" t="s">
        <v>153</v>
      </c>
      <c r="B198" t="s">
        <v>43</v>
      </c>
      <c r="C198">
        <v>2001</v>
      </c>
      <c r="D198">
        <v>28.4</v>
      </c>
      <c r="E198">
        <v>34.4</v>
      </c>
      <c r="F198">
        <v>149.39949999999999</v>
      </c>
      <c r="G198">
        <v>23.4</v>
      </c>
      <c r="H198">
        <v>69.099999999999994</v>
      </c>
      <c r="J198">
        <f>ROUND(F198,2)</f>
        <v>149.4</v>
      </c>
      <c r="K198">
        <f>SQRT(E198)</f>
        <v>5.8651513194460723</v>
      </c>
      <c r="L198" t="str">
        <f>LEFT(A198,3)</f>
        <v>Cab</v>
      </c>
      <c r="M198" t="str">
        <f>RIGHT(B198,3)</f>
        <v>ica</v>
      </c>
      <c r="N198">
        <f>RANK(G198,G:G,1)</f>
        <v>55</v>
      </c>
      <c r="O198">
        <f>LEN(A198)</f>
        <v>10</v>
      </c>
    </row>
    <row r="199" spans="1:15" x14ac:dyDescent="0.25">
      <c r="A199" t="s">
        <v>154</v>
      </c>
      <c r="B199" t="s">
        <v>43</v>
      </c>
      <c r="C199">
        <v>2003</v>
      </c>
      <c r="D199">
        <v>74.7</v>
      </c>
      <c r="E199">
        <v>123.5</v>
      </c>
      <c r="F199">
        <v>485.3535</v>
      </c>
      <c r="G199">
        <v>21.4</v>
      </c>
      <c r="H199">
        <v>49.4</v>
      </c>
      <c r="J199">
        <f>ROUND(F199,2)</f>
        <v>485.35</v>
      </c>
      <c r="K199">
        <f>SQRT(E199)</f>
        <v>11.113055385446435</v>
      </c>
      <c r="L199" t="str">
        <f>LEFT(A199,3)</f>
        <v>Uga</v>
      </c>
      <c r="M199" t="str">
        <f>RIGHT(B199,3)</f>
        <v>ica</v>
      </c>
      <c r="N199">
        <f>RANK(G199,G:G,1)</f>
        <v>13</v>
      </c>
      <c r="O199">
        <f>LEN(A199)</f>
        <v>6</v>
      </c>
    </row>
    <row r="200" spans="1:15" x14ac:dyDescent="0.25">
      <c r="A200" t="s">
        <v>52</v>
      </c>
      <c r="B200" t="s">
        <v>19</v>
      </c>
      <c r="C200">
        <v>2007</v>
      </c>
      <c r="D200">
        <v>23.8</v>
      </c>
      <c r="E200">
        <v>26.8</v>
      </c>
      <c r="F200">
        <v>267.52699999999999</v>
      </c>
      <c r="G200">
        <v>25.9</v>
      </c>
      <c r="H200">
        <v>66.3</v>
      </c>
      <c r="J200">
        <f>ROUND(F200,2)</f>
        <v>267.52999999999997</v>
      </c>
      <c r="K200">
        <f>SQRT(E200)</f>
        <v>5.1768716422179137</v>
      </c>
      <c r="L200" t="str">
        <f>LEFT(A200,3)</f>
        <v>Kaz</v>
      </c>
      <c r="M200" t="str">
        <f>RIGHT(B200,3)</f>
        <v>sia</v>
      </c>
      <c r="N200">
        <f>RANK(G200,G:G,1)</f>
        <v>126</v>
      </c>
      <c r="O200">
        <f>LEN(A200)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23691a3306@MITS.COM</dc:creator>
  <cp:lastModifiedBy>23691a3306@MITS.COM</cp:lastModifiedBy>
  <dcterms:created xsi:type="dcterms:W3CDTF">2026-06-01T06:11:50Z</dcterms:created>
  <dcterms:modified xsi:type="dcterms:W3CDTF">2026-06-01T06:13:39Z</dcterms:modified>
</cp:coreProperties>
</file>